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oc\Andrey\exhange\excel\tools\projects\volatility\"/>
    </mc:Choice>
  </mc:AlternateContent>
  <bookViews>
    <workbookView xWindow="384" yWindow="36" windowWidth="14340" windowHeight="9000" tabRatio="644"/>
  </bookViews>
  <sheets>
    <sheet name="PM" sheetId="1" r:id="rId1"/>
  </sheets>
  <definedNames>
    <definedName name="_xlnm._FilterDatabase" localSheetId="0" hidden="1">PM!$A$1:$D$1</definedName>
  </definedNames>
  <calcPr calcId="152511"/>
</workbook>
</file>

<file path=xl/calcChain.xml><?xml version="1.0" encoding="utf-8"?>
<calcChain xmlns="http://schemas.openxmlformats.org/spreadsheetml/2006/main">
  <c r="D3" i="1" l="1"/>
  <c r="D13" i="1"/>
  <c r="D7" i="1"/>
  <c r="D32" i="1"/>
  <c r="D2" i="1"/>
  <c r="D20" i="1"/>
  <c r="D27" i="1"/>
  <c r="D44" i="1"/>
  <c r="D43" i="1"/>
  <c r="D34" i="1"/>
  <c r="D22" i="1"/>
  <c r="D12" i="1"/>
  <c r="D14" i="1"/>
  <c r="D19" i="1"/>
  <c r="D11" i="1"/>
  <c r="D8" i="1"/>
  <c r="D9" i="1"/>
  <c r="D10" i="1"/>
  <c r="D25" i="1"/>
  <c r="D6" i="1"/>
  <c r="D15" i="1"/>
  <c r="D4" i="1"/>
  <c r="D24" i="1"/>
  <c r="D16" i="1"/>
  <c r="D17" i="1"/>
  <c r="D21" i="1"/>
  <c r="D30" i="1"/>
  <c r="D23" i="1"/>
  <c r="D35" i="1"/>
  <c r="D28" i="1"/>
  <c r="D37" i="1"/>
  <c r="D26" i="1"/>
  <c r="D39" i="1"/>
  <c r="D45" i="1"/>
  <c r="D36" i="1"/>
  <c r="D49" i="1"/>
  <c r="D31" i="1"/>
  <c r="D42" i="1"/>
  <c r="D38" i="1"/>
  <c r="D33" i="1"/>
  <c r="D18" i="1"/>
  <c r="D29" i="1"/>
  <c r="D51" i="1"/>
  <c r="D40" i="1"/>
  <c r="D47" i="1"/>
  <c r="D53" i="1"/>
  <c r="D52" i="1"/>
  <c r="D50" i="1"/>
  <c r="D46" i="1"/>
  <c r="D41" i="1"/>
  <c r="D48" i="1"/>
  <c r="D58" i="1"/>
  <c r="D54" i="1"/>
  <c r="D56" i="1"/>
  <c r="D55" i="1"/>
  <c r="D57" i="1"/>
  <c r="D5" i="1"/>
  <c r="J58" i="1" l="1"/>
  <c r="J59" i="1" s="1"/>
  <c r="L59" i="1" s="1"/>
  <c r="J60" i="1" l="1"/>
  <c r="L60" i="1" s="1"/>
</calcChain>
</file>

<file path=xl/sharedStrings.xml><?xml version="1.0" encoding="utf-8"?>
<sst xmlns="http://schemas.openxmlformats.org/spreadsheetml/2006/main" count="67" uniqueCount="67">
  <si>
    <t>&lt;FILENAME&gt;</t>
  </si>
  <si>
    <t>&lt;SELECTED_LENGTH&gt;</t>
  </si>
  <si>
    <t>&lt;TOTAL_LENGTH&gt;</t>
  </si>
  <si>
    <t>SPFB.Si-3.20_2019-12-19.txt</t>
  </si>
  <si>
    <t>SPFB.Si-3.20_2019-12-20.txt</t>
  </si>
  <si>
    <t>SPFB.Si-3.20_2019-12-23.txt</t>
  </si>
  <si>
    <t>SPFB.Si-3.20_2019-12-24.txt</t>
  </si>
  <si>
    <t>SPFB.Si-3.20_2019-12-25.txt</t>
  </si>
  <si>
    <t>SPFB.Si-3.20_2019-12-26.txt</t>
  </si>
  <si>
    <t>SPFB.Si-3.20_2019-12-27.txt</t>
  </si>
  <si>
    <t>SPFB.Si-3.20_2019-12-30.txt</t>
  </si>
  <si>
    <t>SPFB.Si-3.20_2020-01-03.txt</t>
  </si>
  <si>
    <t>SPFB.Si-3.20_2020-01-06.txt</t>
  </si>
  <si>
    <t>SPFB.Si-3.20_2020-01-08.txt</t>
  </si>
  <si>
    <t>SPFB.Si-3.20_2020-01-09.txt</t>
  </si>
  <si>
    <t>SPFB.Si-3.20_2020-01-10.txt</t>
  </si>
  <si>
    <t>SPFB.Si-3.20_2020-01-13.txt</t>
  </si>
  <si>
    <t>SPFB.Si-3.20_2020-01-14.txt</t>
  </si>
  <si>
    <t>SPFB.Si-3.20_2020-01-15.txt</t>
  </si>
  <si>
    <t>SPFB.Si-3.20_2020-01-16.txt</t>
  </si>
  <si>
    <t>SPFB.Si-3.20_2020-01-17.txt</t>
  </si>
  <si>
    <t>SPFB.Si-3.20_2020-01-20.txt</t>
  </si>
  <si>
    <t>SPFB.Si-3.20_2020-01-21.txt</t>
  </si>
  <si>
    <t>SPFB.Si-3.20_2020-01-22.txt</t>
  </si>
  <si>
    <t>SPFB.Si-3.20_2020-01-23.txt</t>
  </si>
  <si>
    <t>SPFB.Si-3.20_2020-01-24.txt</t>
  </si>
  <si>
    <t>SPFB.Si-3.20_2020-01-27.txt</t>
  </si>
  <si>
    <t>SPFB.Si-3.20_2020-01-28.txt</t>
  </si>
  <si>
    <t>SPFB.Si-3.20_2020-01-29.txt</t>
  </si>
  <si>
    <t>SPFB.Si-3.20_2020-01-30.txt</t>
  </si>
  <si>
    <t>SPFB.Si-3.20_2020-01-31.txt</t>
  </si>
  <si>
    <t>SPFB.Si-3.20_2020-02-03.txt</t>
  </si>
  <si>
    <t>SPFB.Si-3.20_2020-02-04.txt</t>
  </si>
  <si>
    <t>SPFB.Si-3.20_2020-02-05.txt</t>
  </si>
  <si>
    <t>SPFB.Si-3.20_2020-02-06.txt</t>
  </si>
  <si>
    <t>SPFB.Si-3.20_2020-02-07.txt</t>
  </si>
  <si>
    <t>SPFB.Si-3.20_2020-02-10.txt</t>
  </si>
  <si>
    <t>SPFB.Si-3.20_2020-02-11.txt</t>
  </si>
  <si>
    <t>SPFB.Si-3.20_2020-02-12.txt</t>
  </si>
  <si>
    <t>SPFB.Si-3.20_2020-02-13.txt</t>
  </si>
  <si>
    <t>SPFB.Si-3.20_2020-02-14.txt</t>
  </si>
  <si>
    <t>SPFB.Si-3.20_2020-02-17.txt</t>
  </si>
  <si>
    <t>SPFB.Si-3.20_2020-02-18.txt</t>
  </si>
  <si>
    <t>SPFB.Si-3.20_2020-02-19.txt</t>
  </si>
  <si>
    <t>SPFB.Si-3.20_2020-02-20.txt</t>
  </si>
  <si>
    <t>SPFB.Si-3.20_2020-02-21.txt</t>
  </si>
  <si>
    <t>SPFB.Si-3.20_2020-02-25.txt</t>
  </si>
  <si>
    <t>SPFB.Si-3.20_2020-02-26.txt</t>
  </si>
  <si>
    <t>SPFB.Si-3.20_2020-02-27.txt</t>
  </si>
  <si>
    <t>SPFB.Si-3.20_2020-02-28.txt</t>
  </si>
  <si>
    <t>SPFB.Si-3.20_2020-03-02.txt</t>
  </si>
  <si>
    <t>SPFB.Si-3.20_2020-03-03.txt</t>
  </si>
  <si>
    <t>SPFB.Si-3.20_2020-03-04.txt</t>
  </si>
  <si>
    <t>SPFB.Si-3.20_2020-03-05.txt</t>
  </si>
  <si>
    <t>SPFB.Si-3.20_2020-03-06.txt</t>
  </si>
  <si>
    <t>SPFB.Si-3.20_2020-03-10.txt</t>
  </si>
  <si>
    <t>SPFB.Si-3.20_2020-03-11.txt</t>
  </si>
  <si>
    <t>SPFB.Si-3.20_2020-03-16.txt</t>
  </si>
  <si>
    <t>SPFB.Si-3.20_2020-03-17.txt</t>
  </si>
  <si>
    <t>SPFB.Si-3.20_2020-03-18.txt</t>
  </si>
  <si>
    <t>x2</t>
  </si>
  <si>
    <t>a</t>
  </si>
  <si>
    <t>b</t>
  </si>
  <si>
    <t>c</t>
  </si>
  <si>
    <t>d</t>
  </si>
  <si>
    <t>x1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</si>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</sst>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PM!$C$1</c:f>
              <c:strCache>
                <c:ptCount val="1"/>
                <c:pt idx="0">
                  <c:v>&lt;TOTAL_LENGTH&gt;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PM!$B$2:$B$58</c:f>
              <c:numCache>
                <c:formatCode>General</c:formatCode>
                <c:ptCount val="57"/>
                <c:pt idx="0">
                  <c:v>70</c:v>
                </c:pt>
                <c:pt idx="1">
                  <c:v>72</c:v>
                </c:pt>
                <c:pt idx="2">
                  <c:v>88</c:v>
                </c:pt>
                <c:pt idx="3">
                  <c:v>95</c:v>
                </c:pt>
                <c:pt idx="4">
                  <c:v>103</c:v>
                </c:pt>
                <c:pt idx="5">
                  <c:v>112</c:v>
                </c:pt>
                <c:pt idx="6">
                  <c:v>112</c:v>
                </c:pt>
                <c:pt idx="7">
                  <c:v>113</c:v>
                </c:pt>
                <c:pt idx="8">
                  <c:v>121</c:v>
                </c:pt>
                <c:pt idx="9">
                  <c:v>124</c:v>
                </c:pt>
                <c:pt idx="10">
                  <c:v>131</c:v>
                </c:pt>
                <c:pt idx="11">
                  <c:v>133</c:v>
                </c:pt>
                <c:pt idx="12">
                  <c:v>139</c:v>
                </c:pt>
                <c:pt idx="13">
                  <c:v>139</c:v>
                </c:pt>
                <c:pt idx="14">
                  <c:v>145</c:v>
                </c:pt>
                <c:pt idx="15">
                  <c:v>160</c:v>
                </c:pt>
                <c:pt idx="16">
                  <c:v>170</c:v>
                </c:pt>
                <c:pt idx="17">
                  <c:v>188</c:v>
                </c:pt>
                <c:pt idx="18">
                  <c:v>189</c:v>
                </c:pt>
                <c:pt idx="19">
                  <c:v>210</c:v>
                </c:pt>
                <c:pt idx="20">
                  <c:v>221</c:v>
                </c:pt>
                <c:pt idx="21">
                  <c:v>225</c:v>
                </c:pt>
                <c:pt idx="22">
                  <c:v>226</c:v>
                </c:pt>
                <c:pt idx="23">
                  <c:v>242</c:v>
                </c:pt>
                <c:pt idx="24">
                  <c:v>243</c:v>
                </c:pt>
                <c:pt idx="25">
                  <c:v>248</c:v>
                </c:pt>
                <c:pt idx="26">
                  <c:v>248</c:v>
                </c:pt>
                <c:pt idx="27">
                  <c:v>254</c:v>
                </c:pt>
                <c:pt idx="28">
                  <c:v>261</c:v>
                </c:pt>
                <c:pt idx="29">
                  <c:v>263</c:v>
                </c:pt>
                <c:pt idx="30">
                  <c:v>266</c:v>
                </c:pt>
                <c:pt idx="31">
                  <c:v>266</c:v>
                </c:pt>
                <c:pt idx="32">
                  <c:v>269</c:v>
                </c:pt>
                <c:pt idx="33">
                  <c:v>274</c:v>
                </c:pt>
                <c:pt idx="34">
                  <c:v>305</c:v>
                </c:pt>
                <c:pt idx="35">
                  <c:v>307</c:v>
                </c:pt>
                <c:pt idx="36">
                  <c:v>312</c:v>
                </c:pt>
                <c:pt idx="37">
                  <c:v>318</c:v>
                </c:pt>
                <c:pt idx="38">
                  <c:v>331</c:v>
                </c:pt>
                <c:pt idx="39">
                  <c:v>345</c:v>
                </c:pt>
                <c:pt idx="40">
                  <c:v>380</c:v>
                </c:pt>
                <c:pt idx="41">
                  <c:v>401</c:v>
                </c:pt>
                <c:pt idx="42">
                  <c:v>403</c:v>
                </c:pt>
                <c:pt idx="43">
                  <c:v>412</c:v>
                </c:pt>
                <c:pt idx="44">
                  <c:v>427</c:v>
                </c:pt>
                <c:pt idx="45">
                  <c:v>473</c:v>
                </c:pt>
                <c:pt idx="46">
                  <c:v>587</c:v>
                </c:pt>
                <c:pt idx="47">
                  <c:v>634</c:v>
                </c:pt>
                <c:pt idx="48">
                  <c:v>708</c:v>
                </c:pt>
                <c:pt idx="49">
                  <c:v>828</c:v>
                </c:pt>
                <c:pt idx="50">
                  <c:v>934</c:v>
                </c:pt>
                <c:pt idx="51">
                  <c:v>2025</c:v>
                </c:pt>
                <c:pt idx="52">
                  <c:v>2078</c:v>
                </c:pt>
                <c:pt idx="53">
                  <c:v>2104</c:v>
                </c:pt>
                <c:pt idx="54">
                  <c:v>4872</c:v>
                </c:pt>
                <c:pt idx="55">
                  <c:v>6998</c:v>
                </c:pt>
                <c:pt idx="56">
                  <c:v>7053</c:v>
                </c:pt>
              </c:numCache>
            </c:numRef>
          </c:xVal>
          <c:yVal>
            <c:numRef>
              <c:f>PM!$C$2:$C$58</c:f>
              <c:numCache>
                <c:formatCode>General</c:formatCode>
                <c:ptCount val="57"/>
                <c:pt idx="0">
                  <c:v>580</c:v>
                </c:pt>
                <c:pt idx="1">
                  <c:v>673</c:v>
                </c:pt>
                <c:pt idx="2">
                  <c:v>742</c:v>
                </c:pt>
                <c:pt idx="3">
                  <c:v>602</c:v>
                </c:pt>
                <c:pt idx="4">
                  <c:v>729</c:v>
                </c:pt>
                <c:pt idx="5">
                  <c:v>605</c:v>
                </c:pt>
                <c:pt idx="6">
                  <c:v>712</c:v>
                </c:pt>
                <c:pt idx="7">
                  <c:v>736</c:v>
                </c:pt>
                <c:pt idx="8">
                  <c:v>556</c:v>
                </c:pt>
                <c:pt idx="9">
                  <c:v>2109</c:v>
                </c:pt>
                <c:pt idx="10">
                  <c:v>908</c:v>
                </c:pt>
                <c:pt idx="11">
                  <c:v>547</c:v>
                </c:pt>
                <c:pt idx="12">
                  <c:v>813</c:v>
                </c:pt>
                <c:pt idx="13">
                  <c:v>647</c:v>
                </c:pt>
                <c:pt idx="14">
                  <c:v>1383</c:v>
                </c:pt>
                <c:pt idx="15">
                  <c:v>1179</c:v>
                </c:pt>
                <c:pt idx="16">
                  <c:v>1400</c:v>
                </c:pt>
                <c:pt idx="17">
                  <c:v>803</c:v>
                </c:pt>
                <c:pt idx="18">
                  <c:v>971</c:v>
                </c:pt>
                <c:pt idx="19">
                  <c:v>1517</c:v>
                </c:pt>
                <c:pt idx="20">
                  <c:v>764</c:v>
                </c:pt>
                <c:pt idx="21">
                  <c:v>2068</c:v>
                </c:pt>
                <c:pt idx="22">
                  <c:v>1412</c:v>
                </c:pt>
                <c:pt idx="23">
                  <c:v>825</c:v>
                </c:pt>
                <c:pt idx="24">
                  <c:v>2160</c:v>
                </c:pt>
                <c:pt idx="25">
                  <c:v>1151</c:v>
                </c:pt>
                <c:pt idx="26">
                  <c:v>2018</c:v>
                </c:pt>
                <c:pt idx="27">
                  <c:v>1649</c:v>
                </c:pt>
                <c:pt idx="28">
                  <c:v>1864</c:v>
                </c:pt>
                <c:pt idx="29">
                  <c:v>1036</c:v>
                </c:pt>
                <c:pt idx="30">
                  <c:v>848</c:v>
                </c:pt>
                <c:pt idx="31">
                  <c:v>1084</c:v>
                </c:pt>
                <c:pt idx="32">
                  <c:v>1605</c:v>
                </c:pt>
                <c:pt idx="33">
                  <c:v>1523</c:v>
                </c:pt>
                <c:pt idx="34">
                  <c:v>1377</c:v>
                </c:pt>
                <c:pt idx="35">
                  <c:v>1570</c:v>
                </c:pt>
                <c:pt idx="36">
                  <c:v>1837</c:v>
                </c:pt>
                <c:pt idx="37">
                  <c:v>1635</c:v>
                </c:pt>
                <c:pt idx="38">
                  <c:v>3199</c:v>
                </c:pt>
                <c:pt idx="39">
                  <c:v>4004</c:v>
                </c:pt>
                <c:pt idx="40">
                  <c:v>923</c:v>
                </c:pt>
                <c:pt idx="41">
                  <c:v>1031</c:v>
                </c:pt>
                <c:pt idx="42">
                  <c:v>1200</c:v>
                </c:pt>
                <c:pt idx="43">
                  <c:v>1797</c:v>
                </c:pt>
                <c:pt idx="44">
                  <c:v>4135</c:v>
                </c:pt>
                <c:pt idx="45">
                  <c:v>3247</c:v>
                </c:pt>
                <c:pt idx="46">
                  <c:v>7558</c:v>
                </c:pt>
                <c:pt idx="47">
                  <c:v>1895</c:v>
                </c:pt>
                <c:pt idx="48">
                  <c:v>5885</c:v>
                </c:pt>
                <c:pt idx="49">
                  <c:v>3220</c:v>
                </c:pt>
                <c:pt idx="50">
                  <c:v>5513</c:v>
                </c:pt>
                <c:pt idx="51">
                  <c:v>8505</c:v>
                </c:pt>
                <c:pt idx="52">
                  <c:v>9794</c:v>
                </c:pt>
                <c:pt idx="53">
                  <c:v>18848</c:v>
                </c:pt>
                <c:pt idx="54">
                  <c:v>27735</c:v>
                </c:pt>
                <c:pt idx="55">
                  <c:v>46174</c:v>
                </c:pt>
                <c:pt idx="56">
                  <c:v>16935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53056"/>
        <c:axId val="196253616"/>
      </c:scatterChart>
      <c:valAx>
        <c:axId val="19625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6253616"/>
        <c:crosses val="autoZero"/>
        <c:crossBetween val="midCat"/>
      </c:valAx>
      <c:valAx>
        <c:axId val="19625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6253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</xdr:colOff>
      <xdr:row>37</xdr:row>
      <xdr:rowOff>60960</xdr:rowOff>
    </xdr:from>
    <xdr:to>
      <xdr:col>15</xdr:col>
      <xdr:colOff>358140</xdr:colOff>
      <xdr:row>52</xdr:row>
      <xdr:rowOff>60960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60"/>
  <sheetViews>
    <sheetView tabSelected="1" topLeftCell="A37" zoomScaleNormal="100" workbookViewId="0">
      <selection activeCell="R43" sqref="R43"/>
    </sheetView>
  </sheetViews>
  <sheetFormatPr defaultRowHeight="14.4" x14ac:dyDescent="0.3"/>
  <cols>
    <col min="1" max="1" width="24.44140625" bestFit="1" customWidth="1"/>
    <col min="12" max="12" width="11.44140625" bestFit="1" customWidth="1"/>
  </cols>
  <sheetData>
    <row r="1" spans="1:4" x14ac:dyDescent="0.3">
      <c r="A1" t="s">
        <v>0</v>
      </c>
      <c r="B1" t="s">
        <v>1</v>
      </c>
      <c r="C1" t="s">
        <v>2</v>
      </c>
    </row>
    <row r="2" spans="1:4" x14ac:dyDescent="0.3">
      <c r="A2" t="s">
        <v>8</v>
      </c>
      <c r="B2">
        <v>70</v>
      </c>
      <c r="C2">
        <v>580</v>
      </c>
      <c r="D2">
        <f t="shared" ref="D2:D33" si="0">C2/B2</f>
        <v>8.2857142857142865</v>
      </c>
    </row>
    <row r="3" spans="1:4" x14ac:dyDescent="0.3">
      <c r="A3" t="s">
        <v>4</v>
      </c>
      <c r="B3">
        <v>72</v>
      </c>
      <c r="C3">
        <v>673</v>
      </c>
      <c r="D3">
        <f t="shared" si="0"/>
        <v>9.3472222222222214</v>
      </c>
    </row>
    <row r="4" spans="1:4" x14ac:dyDescent="0.3">
      <c r="A4" t="s">
        <v>25</v>
      </c>
      <c r="B4">
        <v>88</v>
      </c>
      <c r="C4">
        <v>742</v>
      </c>
      <c r="D4">
        <f t="shared" si="0"/>
        <v>8.4318181818181817</v>
      </c>
    </row>
    <row r="5" spans="1:4" x14ac:dyDescent="0.3">
      <c r="A5" t="s">
        <v>3</v>
      </c>
      <c r="B5">
        <v>95</v>
      </c>
      <c r="C5">
        <v>602</v>
      </c>
      <c r="D5">
        <f t="shared" si="0"/>
        <v>6.3368421052631581</v>
      </c>
    </row>
    <row r="6" spans="1:4" x14ac:dyDescent="0.3">
      <c r="A6" t="s">
        <v>23</v>
      </c>
      <c r="B6">
        <v>103</v>
      </c>
      <c r="C6">
        <v>729</v>
      </c>
      <c r="D6">
        <f t="shared" si="0"/>
        <v>7.0776699029126213</v>
      </c>
    </row>
    <row r="7" spans="1:4" x14ac:dyDescent="0.3">
      <c r="A7" t="s">
        <v>6</v>
      </c>
      <c r="B7">
        <v>112</v>
      </c>
      <c r="C7">
        <v>605</v>
      </c>
      <c r="D7">
        <f t="shared" si="0"/>
        <v>5.4017857142857144</v>
      </c>
    </row>
    <row r="8" spans="1:4" x14ac:dyDescent="0.3">
      <c r="A8" t="s">
        <v>19</v>
      </c>
      <c r="B8">
        <v>112</v>
      </c>
      <c r="C8">
        <v>712</v>
      </c>
      <c r="D8">
        <f t="shared" si="0"/>
        <v>6.3571428571428568</v>
      </c>
    </row>
    <row r="9" spans="1:4" x14ac:dyDescent="0.3">
      <c r="A9" t="s">
        <v>20</v>
      </c>
      <c r="B9">
        <v>113</v>
      </c>
      <c r="C9">
        <v>736</v>
      </c>
      <c r="D9">
        <f t="shared" si="0"/>
        <v>6.5132743362831862</v>
      </c>
    </row>
    <row r="10" spans="1:4" x14ac:dyDescent="0.3">
      <c r="A10" t="s">
        <v>21</v>
      </c>
      <c r="B10">
        <v>121</v>
      </c>
      <c r="C10">
        <v>556</v>
      </c>
      <c r="D10">
        <f t="shared" si="0"/>
        <v>4.5950413223140494</v>
      </c>
    </row>
    <row r="11" spans="1:4" x14ac:dyDescent="0.3">
      <c r="A11" t="s">
        <v>18</v>
      </c>
      <c r="B11">
        <v>124</v>
      </c>
      <c r="C11">
        <v>2109</v>
      </c>
      <c r="D11">
        <f t="shared" si="0"/>
        <v>17.008064516129032</v>
      </c>
    </row>
    <row r="12" spans="1:4" x14ac:dyDescent="0.3">
      <c r="A12" t="s">
        <v>15</v>
      </c>
      <c r="B12">
        <v>131</v>
      </c>
      <c r="C12">
        <v>908</v>
      </c>
      <c r="D12">
        <f t="shared" si="0"/>
        <v>6.9312977099236646</v>
      </c>
    </row>
    <row r="13" spans="1:4" x14ac:dyDescent="0.3">
      <c r="A13" t="s">
        <v>5</v>
      </c>
      <c r="B13">
        <v>133</v>
      </c>
      <c r="C13">
        <v>547</v>
      </c>
      <c r="D13">
        <f t="shared" si="0"/>
        <v>4.1127819548872182</v>
      </c>
    </row>
    <row r="14" spans="1:4" x14ac:dyDescent="0.3">
      <c r="A14" t="s">
        <v>16</v>
      </c>
      <c r="B14">
        <v>139</v>
      </c>
      <c r="C14">
        <v>813</v>
      </c>
      <c r="D14">
        <f t="shared" si="0"/>
        <v>5.8489208633093526</v>
      </c>
    </row>
    <row r="15" spans="1:4" x14ac:dyDescent="0.3">
      <c r="A15" t="s">
        <v>24</v>
      </c>
      <c r="B15">
        <v>139</v>
      </c>
      <c r="C15">
        <v>647</v>
      </c>
      <c r="D15">
        <f t="shared" si="0"/>
        <v>4.6546762589928061</v>
      </c>
    </row>
    <row r="16" spans="1:4" x14ac:dyDescent="0.3">
      <c r="A16" t="s">
        <v>27</v>
      </c>
      <c r="B16">
        <v>145</v>
      </c>
      <c r="C16">
        <v>1383</v>
      </c>
      <c r="D16">
        <f t="shared" si="0"/>
        <v>9.5379310344827584</v>
      </c>
    </row>
    <row r="17" spans="1:4" x14ac:dyDescent="0.3">
      <c r="A17" t="s">
        <v>28</v>
      </c>
      <c r="B17">
        <v>160</v>
      </c>
      <c r="C17">
        <v>1179</v>
      </c>
      <c r="D17">
        <f t="shared" si="0"/>
        <v>7.3687500000000004</v>
      </c>
    </row>
    <row r="18" spans="1:4" x14ac:dyDescent="0.3">
      <c r="A18" t="s">
        <v>44</v>
      </c>
      <c r="B18">
        <v>170</v>
      </c>
      <c r="C18">
        <v>1400</v>
      </c>
      <c r="D18">
        <f t="shared" si="0"/>
        <v>8.235294117647058</v>
      </c>
    </row>
    <row r="19" spans="1:4" x14ac:dyDescent="0.3">
      <c r="A19" t="s">
        <v>17</v>
      </c>
      <c r="B19">
        <v>188</v>
      </c>
      <c r="C19">
        <v>803</v>
      </c>
      <c r="D19">
        <f t="shared" si="0"/>
        <v>4.2712765957446805</v>
      </c>
    </row>
    <row r="20" spans="1:4" x14ac:dyDescent="0.3">
      <c r="A20" t="s">
        <v>9</v>
      </c>
      <c r="B20">
        <v>189</v>
      </c>
      <c r="C20">
        <v>971</v>
      </c>
      <c r="D20">
        <f t="shared" si="0"/>
        <v>5.1375661375661377</v>
      </c>
    </row>
    <row r="21" spans="1:4" x14ac:dyDescent="0.3">
      <c r="A21" t="s">
        <v>29</v>
      </c>
      <c r="B21">
        <v>210</v>
      </c>
      <c r="C21">
        <v>1517</v>
      </c>
      <c r="D21">
        <f t="shared" si="0"/>
        <v>7.2238095238095239</v>
      </c>
    </row>
    <row r="22" spans="1:4" x14ac:dyDescent="0.3">
      <c r="A22" t="s">
        <v>14</v>
      </c>
      <c r="B22">
        <v>221</v>
      </c>
      <c r="C22">
        <v>764</v>
      </c>
      <c r="D22">
        <f t="shared" si="0"/>
        <v>3.4570135746606336</v>
      </c>
    </row>
    <row r="23" spans="1:4" x14ac:dyDescent="0.3">
      <c r="A23" t="s">
        <v>31</v>
      </c>
      <c r="B23">
        <v>225</v>
      </c>
      <c r="C23">
        <v>2068</v>
      </c>
      <c r="D23">
        <f t="shared" si="0"/>
        <v>9.1911111111111108</v>
      </c>
    </row>
    <row r="24" spans="1:4" x14ac:dyDescent="0.3">
      <c r="A24" t="s">
        <v>26</v>
      </c>
      <c r="B24">
        <v>226</v>
      </c>
      <c r="C24">
        <v>1412</v>
      </c>
      <c r="D24">
        <f t="shared" si="0"/>
        <v>6.2477876106194694</v>
      </c>
    </row>
    <row r="25" spans="1:4" x14ac:dyDescent="0.3">
      <c r="A25" t="s">
        <v>22</v>
      </c>
      <c r="B25">
        <v>242</v>
      </c>
      <c r="C25">
        <v>825</v>
      </c>
      <c r="D25">
        <f t="shared" si="0"/>
        <v>3.4090909090909092</v>
      </c>
    </row>
    <row r="26" spans="1:4" x14ac:dyDescent="0.3">
      <c r="A26" t="s">
        <v>35</v>
      </c>
      <c r="B26">
        <v>243</v>
      </c>
      <c r="C26">
        <v>2160</v>
      </c>
      <c r="D26">
        <f t="shared" si="0"/>
        <v>8.8888888888888893</v>
      </c>
    </row>
    <row r="27" spans="1:4" x14ac:dyDescent="0.3">
      <c r="A27" t="s">
        <v>10</v>
      </c>
      <c r="B27">
        <v>248</v>
      </c>
      <c r="C27">
        <v>1151</v>
      </c>
      <c r="D27">
        <f t="shared" si="0"/>
        <v>4.6411290322580649</v>
      </c>
    </row>
    <row r="28" spans="1:4" x14ac:dyDescent="0.3">
      <c r="A28" t="s">
        <v>33</v>
      </c>
      <c r="B28">
        <v>248</v>
      </c>
      <c r="C28">
        <v>2018</v>
      </c>
      <c r="D28">
        <f t="shared" si="0"/>
        <v>8.137096774193548</v>
      </c>
    </row>
    <row r="29" spans="1:4" x14ac:dyDescent="0.3">
      <c r="A29" t="s">
        <v>45</v>
      </c>
      <c r="B29">
        <v>254</v>
      </c>
      <c r="C29">
        <v>1649</v>
      </c>
      <c r="D29">
        <f t="shared" si="0"/>
        <v>6.4921259842519685</v>
      </c>
    </row>
    <row r="30" spans="1:4" x14ac:dyDescent="0.3">
      <c r="A30" t="s">
        <v>30</v>
      </c>
      <c r="B30">
        <v>261</v>
      </c>
      <c r="C30">
        <v>1864</v>
      </c>
      <c r="D30">
        <f t="shared" si="0"/>
        <v>7.1417624521072796</v>
      </c>
    </row>
    <row r="31" spans="1:4" x14ac:dyDescent="0.3">
      <c r="A31" t="s">
        <v>40</v>
      </c>
      <c r="B31">
        <v>263</v>
      </c>
      <c r="C31">
        <v>1036</v>
      </c>
      <c r="D31">
        <f t="shared" si="0"/>
        <v>3.9391634980988592</v>
      </c>
    </row>
    <row r="32" spans="1:4" x14ac:dyDescent="0.3">
      <c r="A32" t="s">
        <v>7</v>
      </c>
      <c r="B32">
        <v>266</v>
      </c>
      <c r="C32">
        <v>848</v>
      </c>
      <c r="D32">
        <f t="shared" si="0"/>
        <v>3.1879699248120299</v>
      </c>
    </row>
    <row r="33" spans="1:4" x14ac:dyDescent="0.3">
      <c r="A33" t="s">
        <v>43</v>
      </c>
      <c r="B33">
        <v>266</v>
      </c>
      <c r="C33">
        <v>1084</v>
      </c>
      <c r="D33">
        <f t="shared" si="0"/>
        <v>4.0751879699248121</v>
      </c>
    </row>
    <row r="34" spans="1:4" x14ac:dyDescent="0.3">
      <c r="A34" t="s">
        <v>13</v>
      </c>
      <c r="B34">
        <v>269</v>
      </c>
      <c r="C34">
        <v>1605</v>
      </c>
      <c r="D34">
        <f t="shared" ref="D34:D65" si="1">C34/B34</f>
        <v>5.966542750929368</v>
      </c>
    </row>
    <row r="35" spans="1:4" x14ac:dyDescent="0.3">
      <c r="A35" t="s">
        <v>32</v>
      </c>
      <c r="B35">
        <v>274</v>
      </c>
      <c r="C35">
        <v>1523</v>
      </c>
      <c r="D35">
        <f t="shared" si="1"/>
        <v>5.5583941605839415</v>
      </c>
    </row>
    <row r="36" spans="1:4" x14ac:dyDescent="0.3">
      <c r="A36" t="s">
        <v>38</v>
      </c>
      <c r="B36">
        <v>305</v>
      </c>
      <c r="C36">
        <v>1377</v>
      </c>
      <c r="D36">
        <f t="shared" si="1"/>
        <v>4.5147540983606556</v>
      </c>
    </row>
    <row r="37" spans="1:4" x14ac:dyDescent="0.3">
      <c r="A37" t="s">
        <v>34</v>
      </c>
      <c r="B37">
        <v>307</v>
      </c>
      <c r="C37">
        <v>1570</v>
      </c>
      <c r="D37">
        <f t="shared" si="1"/>
        <v>5.1140065146579801</v>
      </c>
    </row>
    <row r="38" spans="1:4" x14ac:dyDescent="0.3">
      <c r="A38" t="s">
        <v>42</v>
      </c>
      <c r="B38">
        <v>312</v>
      </c>
      <c r="C38">
        <v>1837</v>
      </c>
      <c r="D38">
        <f t="shared" si="1"/>
        <v>5.8878205128205128</v>
      </c>
    </row>
    <row r="39" spans="1:4" x14ac:dyDescent="0.3">
      <c r="A39" t="s">
        <v>36</v>
      </c>
      <c r="B39">
        <v>318</v>
      </c>
      <c r="C39">
        <v>1635</v>
      </c>
      <c r="D39">
        <f t="shared" si="1"/>
        <v>5.1415094339622645</v>
      </c>
    </row>
    <row r="40" spans="1:4" x14ac:dyDescent="0.3">
      <c r="A40" t="s">
        <v>47</v>
      </c>
      <c r="B40">
        <v>331</v>
      </c>
      <c r="C40">
        <v>3199</v>
      </c>
      <c r="D40">
        <f t="shared" si="1"/>
        <v>9.6646525679758302</v>
      </c>
    </row>
    <row r="41" spans="1:4" x14ac:dyDescent="0.3">
      <c r="A41" t="s">
        <v>53</v>
      </c>
      <c r="B41">
        <v>345</v>
      </c>
      <c r="C41">
        <v>4004</v>
      </c>
      <c r="D41">
        <f t="shared" si="1"/>
        <v>11.605797101449275</v>
      </c>
    </row>
    <row r="42" spans="1:4" x14ac:dyDescent="0.3">
      <c r="A42" t="s">
        <v>41</v>
      </c>
      <c r="B42">
        <v>380</v>
      </c>
      <c r="C42">
        <v>923</v>
      </c>
      <c r="D42">
        <f t="shared" si="1"/>
        <v>2.4289473684210527</v>
      </c>
    </row>
    <row r="43" spans="1:4" x14ac:dyDescent="0.3">
      <c r="A43" t="s">
        <v>12</v>
      </c>
      <c r="B43">
        <v>401</v>
      </c>
      <c r="C43">
        <v>1031</v>
      </c>
      <c r="D43">
        <f t="shared" si="1"/>
        <v>2.5710723192019951</v>
      </c>
    </row>
    <row r="44" spans="1:4" x14ac:dyDescent="0.3">
      <c r="A44" t="s">
        <v>11</v>
      </c>
      <c r="B44">
        <v>403</v>
      </c>
      <c r="C44">
        <v>1200</v>
      </c>
      <c r="D44">
        <f t="shared" si="1"/>
        <v>2.9776674937965262</v>
      </c>
    </row>
    <row r="45" spans="1:4" x14ac:dyDescent="0.3">
      <c r="A45" t="s">
        <v>37</v>
      </c>
      <c r="B45">
        <v>412</v>
      </c>
      <c r="C45">
        <v>1797</v>
      </c>
      <c r="D45">
        <f t="shared" si="1"/>
        <v>4.3616504854368934</v>
      </c>
    </row>
    <row r="46" spans="1:4" x14ac:dyDescent="0.3">
      <c r="A46" t="s">
        <v>52</v>
      </c>
      <c r="B46">
        <v>427</v>
      </c>
      <c r="C46">
        <v>4135</v>
      </c>
      <c r="D46">
        <f t="shared" si="1"/>
        <v>9.6838407494145198</v>
      </c>
    </row>
    <row r="47" spans="1:4" x14ac:dyDescent="0.3">
      <c r="A47" t="s">
        <v>48</v>
      </c>
      <c r="B47">
        <v>473</v>
      </c>
      <c r="C47">
        <v>3247</v>
      </c>
      <c r="D47">
        <f t="shared" si="1"/>
        <v>6.8646934460887952</v>
      </c>
    </row>
    <row r="48" spans="1:4" x14ac:dyDescent="0.3">
      <c r="A48" t="s">
        <v>54</v>
      </c>
      <c r="B48">
        <v>587</v>
      </c>
      <c r="C48">
        <v>7558</v>
      </c>
      <c r="D48">
        <f t="shared" si="1"/>
        <v>12.875638841567291</v>
      </c>
    </row>
    <row r="49" spans="1:12" x14ac:dyDescent="0.3">
      <c r="A49" t="s">
        <v>39</v>
      </c>
      <c r="B49">
        <v>634</v>
      </c>
      <c r="C49">
        <v>1895</v>
      </c>
      <c r="D49">
        <f t="shared" si="1"/>
        <v>2.9889589905362777</v>
      </c>
    </row>
    <row r="50" spans="1:12" x14ac:dyDescent="0.3">
      <c r="A50" t="s">
        <v>51</v>
      </c>
      <c r="B50">
        <v>708</v>
      </c>
      <c r="C50">
        <v>5885</v>
      </c>
      <c r="D50">
        <f t="shared" si="1"/>
        <v>8.3121468926553668</v>
      </c>
    </row>
    <row r="51" spans="1:12" x14ac:dyDescent="0.3">
      <c r="A51" t="s">
        <v>46</v>
      </c>
      <c r="B51">
        <v>828</v>
      </c>
      <c r="C51">
        <v>3220</v>
      </c>
      <c r="D51">
        <f t="shared" si="1"/>
        <v>3.8888888888888888</v>
      </c>
    </row>
    <row r="52" spans="1:12" x14ac:dyDescent="0.3">
      <c r="A52" t="s">
        <v>50</v>
      </c>
      <c r="B52">
        <v>934</v>
      </c>
      <c r="C52">
        <v>5513</v>
      </c>
      <c r="D52">
        <f t="shared" si="1"/>
        <v>5.902569593147752</v>
      </c>
    </row>
    <row r="53" spans="1:12" x14ac:dyDescent="0.3">
      <c r="A53" t="s">
        <v>49</v>
      </c>
      <c r="B53">
        <v>2025</v>
      </c>
      <c r="C53">
        <v>8505</v>
      </c>
      <c r="D53">
        <f t="shared" si="1"/>
        <v>4.2</v>
      </c>
    </row>
    <row r="54" spans="1:12" x14ac:dyDescent="0.3">
      <c r="A54" t="s">
        <v>56</v>
      </c>
      <c r="B54">
        <v>2078</v>
      </c>
      <c r="C54">
        <v>9794</v>
      </c>
      <c r="D54">
        <f t="shared" si="1"/>
        <v>4.7131857555341679</v>
      </c>
      <c r="I54" t="s">
        <v>66</v>
      </c>
      <c r="J54">
        <v>600</v>
      </c>
    </row>
    <row r="55" spans="1:12" x14ac:dyDescent="0.3">
      <c r="A55" t="s">
        <v>58</v>
      </c>
      <c r="B55">
        <v>2104</v>
      </c>
      <c r="C55">
        <v>18848</v>
      </c>
      <c r="D55">
        <f t="shared" si="1"/>
        <v>8.9581749049429664</v>
      </c>
      <c r="I55" t="s">
        <v>61</v>
      </c>
      <c r="J55">
        <v>-4.0000000000000002E-4</v>
      </c>
    </row>
    <row r="56" spans="1:12" x14ac:dyDescent="0.3">
      <c r="A56" t="s">
        <v>57</v>
      </c>
      <c r="B56">
        <v>4872</v>
      </c>
      <c r="C56">
        <v>27735</v>
      </c>
      <c r="D56">
        <f t="shared" si="1"/>
        <v>5.6927339901477829</v>
      </c>
      <c r="I56" t="s">
        <v>62</v>
      </c>
      <c r="J56">
        <v>7.1177000000000001</v>
      </c>
    </row>
    <row r="57" spans="1:12" x14ac:dyDescent="0.3">
      <c r="A57" t="s">
        <v>59</v>
      </c>
      <c r="B57">
        <v>6998</v>
      </c>
      <c r="C57">
        <v>46174</v>
      </c>
      <c r="D57">
        <f t="shared" si="1"/>
        <v>6.5981709059731353</v>
      </c>
      <c r="I57" t="s">
        <v>63</v>
      </c>
      <c r="J57">
        <v>-220.63</v>
      </c>
    </row>
    <row r="58" spans="1:12" x14ac:dyDescent="0.3">
      <c r="A58" t="s">
        <v>55</v>
      </c>
      <c r="B58">
        <v>7053</v>
      </c>
      <c r="C58">
        <v>16935</v>
      </c>
      <c r="D58">
        <f t="shared" si="1"/>
        <v>2.4011059123777114</v>
      </c>
      <c r="I58" t="s">
        <v>64</v>
      </c>
      <c r="J58">
        <f>J56*J56-4*J55*(J57-J54)</f>
        <v>49.348645290000007</v>
      </c>
    </row>
    <row r="59" spans="1:12" x14ac:dyDescent="0.3">
      <c r="I59" s="1" t="s">
        <v>65</v>
      </c>
      <c r="J59">
        <f>(-J56 + SQRT(J58))/2/J55</f>
        <v>116.05113254933296</v>
      </c>
      <c r="L59" s="2">
        <f>J55*J59*J59 + J56*J59+J57</f>
        <v>599.9999999999942</v>
      </c>
    </row>
    <row r="60" spans="1:12" x14ac:dyDescent="0.3">
      <c r="I60" t="s">
        <v>60</v>
      </c>
      <c r="J60">
        <f>(-J56 - SQRT(J58))/2/J55</f>
        <v>17678.198867450668</v>
      </c>
      <c r="L60">
        <f>J55*J60*J60 + J56*J60+J57</f>
        <v>599.99999999997556</v>
      </c>
    </row>
  </sheetData>
  <autoFilter ref="A1:D1">
    <sortState ref="A2:D58">
      <sortCondition ref="B1"/>
    </sortState>
  </autoFilter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PM</vt:lpstr>
    </vt:vector>
  </TitlesOfParts>
  <Company>IT Organization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</dc:creator>
  <cp:lastModifiedBy>home</cp:lastModifiedBy>
  <dcterms:created xsi:type="dcterms:W3CDTF">2019-12-25T05:15:02Z</dcterms:created>
  <dcterms:modified xsi:type="dcterms:W3CDTF">2020-03-31T05:22:46Z</dcterms:modified>
</cp:coreProperties>
</file>