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volatility\"/>
    </mc:Choice>
  </mc:AlternateContent>
  <bookViews>
    <workbookView xWindow="384" yWindow="36" windowWidth="14340" windowHeight="9000" tabRatio="644"/>
  </bookViews>
  <sheets>
    <sheet name="PM" sheetId="1" r:id="rId1"/>
    <sheet name="10" sheetId="14" r:id="rId2"/>
    <sheet name="20" sheetId="15" r:id="rId3"/>
    <sheet name="30" sheetId="16" r:id="rId4"/>
    <sheet name="40" sheetId="17" r:id="rId5"/>
    <sheet name="50" sheetId="18" r:id="rId6"/>
    <sheet name="60" sheetId="19" r:id="rId7"/>
    <sheet name="70" sheetId="20" r:id="rId8"/>
    <sheet name="80" sheetId="21" r:id="rId9"/>
    <sheet name="90" sheetId="22" r:id="rId10"/>
    <sheet name="100" sheetId="23" r:id="rId11"/>
  </sheets>
  <definedNames>
    <definedName name="_xlnm._FilterDatabase" localSheetId="0" hidden="1">PM!$A$1:$D$1</definedName>
  </definedNames>
  <calcPr calcId="152511"/>
</workbook>
</file>

<file path=xl/calcChain.xml><?xml version="1.0" encoding="utf-8"?>
<calcChain xmlns="http://schemas.openxmlformats.org/spreadsheetml/2006/main">
  <c r="E12" i="1" l="1"/>
  <c r="F12" i="1" s="1"/>
  <c r="G12" i="1" s="1"/>
  <c r="E13" i="1"/>
  <c r="F13" i="1" s="1"/>
  <c r="G13" i="1" s="1"/>
  <c r="F11" i="1"/>
  <c r="G11" i="1" s="1"/>
  <c r="E11" i="1"/>
  <c r="G10" i="1"/>
  <c r="F10" i="1"/>
  <c r="E3" i="1" a="1"/>
  <c r="E4" i="1" s="1"/>
  <c r="E14" i="1" l="1"/>
  <c r="G7" i="1"/>
  <c r="F6" i="1"/>
  <c r="E5" i="1"/>
  <c r="G3" i="1"/>
  <c r="F7" i="1"/>
  <c r="E6" i="1"/>
  <c r="G4" i="1"/>
  <c r="F3" i="1"/>
  <c r="E7" i="1"/>
  <c r="G5" i="1"/>
  <c r="F4" i="1"/>
  <c r="E3" i="1"/>
  <c r="G6" i="1"/>
  <c r="F5" i="1"/>
  <c r="F14" i="1" l="1"/>
  <c r="G14" i="1" s="1"/>
  <c r="E15" i="1"/>
  <c r="E16" i="1" l="1"/>
  <c r="F15" i="1"/>
  <c r="G15" i="1" s="1"/>
  <c r="E17" i="1" l="1"/>
  <c r="F16" i="1"/>
  <c r="G16" i="1" s="1"/>
  <c r="F17" i="1" l="1"/>
  <c r="G17" i="1" s="1"/>
  <c r="E18" i="1"/>
  <c r="F18" i="1" l="1"/>
  <c r="G18" i="1" s="1"/>
  <c r="E19" i="1"/>
  <c r="E20" i="1" l="1"/>
  <c r="F20" i="1" s="1"/>
  <c r="G20" i="1" s="1"/>
  <c r="F19" i="1"/>
  <c r="G19" i="1" s="1"/>
</calcChain>
</file>

<file path=xl/sharedStrings.xml><?xml version="1.0" encoding="utf-8"?>
<sst xmlns="http://schemas.openxmlformats.org/spreadsheetml/2006/main" count="667" uniqueCount="67">
  <si>
    <t>&lt;FILENAME&gt;</t>
  </si>
  <si>
    <t>&lt;SELECTED_LENGTH&gt;</t>
  </si>
  <si>
    <t>&lt;TOTAL_LENGTH&gt;</t>
  </si>
  <si>
    <t>SPFB.Si-3.20_2019-12-19.txt</t>
  </si>
  <si>
    <t>SPFB.Si-3.20_2019-12-20.txt</t>
  </si>
  <si>
    <t>SPFB.Si-3.20_2019-12-23.txt</t>
  </si>
  <si>
    <t>SPFB.Si-3.20_2019-12-24.txt</t>
  </si>
  <si>
    <t>SPFB.Si-3.20_2019-12-25.txt</t>
  </si>
  <si>
    <t>SPFB.Si-3.20_2019-12-26.txt</t>
  </si>
  <si>
    <t>SPFB.Si-3.20_2019-12-27.txt</t>
  </si>
  <si>
    <t>SPFB.Si-3.20_2019-12-30.txt</t>
  </si>
  <si>
    <t>SPFB.Si-3.20_2020-01-03.txt</t>
  </si>
  <si>
    <t>SPFB.Si-3.20_2020-01-06.txt</t>
  </si>
  <si>
    <t>SPFB.Si-3.20_2020-01-08.txt</t>
  </si>
  <si>
    <t>SPFB.Si-3.20_2020-01-09.txt</t>
  </si>
  <si>
    <t>SPFB.Si-3.20_2020-01-10.txt</t>
  </si>
  <si>
    <t>SPFB.Si-3.20_2020-01-13.txt</t>
  </si>
  <si>
    <t>SPFB.Si-3.20_2020-01-14.txt</t>
  </si>
  <si>
    <t>SPFB.Si-3.20_2020-01-15.txt</t>
  </si>
  <si>
    <t>SPFB.Si-3.20_2020-01-16.txt</t>
  </si>
  <si>
    <t>SPFB.Si-3.20_2020-01-17.txt</t>
  </si>
  <si>
    <t>SPFB.Si-3.20_2020-01-20.txt</t>
  </si>
  <si>
    <t>SPFB.Si-3.20_2020-01-21.txt</t>
  </si>
  <si>
    <t>SPFB.Si-3.20_2020-01-22.txt</t>
  </si>
  <si>
    <t>SPFB.Si-3.20_2020-01-23.txt</t>
  </si>
  <si>
    <t>SPFB.Si-3.20_2020-01-24.txt</t>
  </si>
  <si>
    <t>SPFB.Si-3.20_2020-01-27.txt</t>
  </si>
  <si>
    <t>SPFB.Si-3.20_2020-01-28.txt</t>
  </si>
  <si>
    <t>SPFB.Si-3.20_2020-01-29.txt</t>
  </si>
  <si>
    <t>SPFB.Si-3.20_2020-01-30.txt</t>
  </si>
  <si>
    <t>SPFB.Si-3.20_2020-01-31.txt</t>
  </si>
  <si>
    <t>SPFB.Si-3.20_2020-02-03.txt</t>
  </si>
  <si>
    <t>SPFB.Si-3.20_2020-02-04.txt</t>
  </si>
  <si>
    <t>SPFB.Si-3.20_2020-02-05.txt</t>
  </si>
  <si>
    <t>SPFB.Si-3.20_2020-02-06.txt</t>
  </si>
  <si>
    <t>SPFB.Si-3.20_2020-02-07.txt</t>
  </si>
  <si>
    <t>SPFB.Si-3.20_2020-02-10.txt</t>
  </si>
  <si>
    <t>SPFB.Si-3.20_2020-02-11.txt</t>
  </si>
  <si>
    <t>SPFB.Si-3.20_2020-02-12.txt</t>
  </si>
  <si>
    <t>SPFB.Si-3.20_2020-02-13.txt</t>
  </si>
  <si>
    <t>SPFB.Si-3.20_2020-02-14.txt</t>
  </si>
  <si>
    <t>SPFB.Si-3.20_2020-02-17.txt</t>
  </si>
  <si>
    <t>SPFB.Si-3.20_2020-02-18.txt</t>
  </si>
  <si>
    <t>SPFB.Si-3.20_2020-02-19.txt</t>
  </si>
  <si>
    <t>SPFB.Si-3.20_2020-02-20.txt</t>
  </si>
  <si>
    <t>SPFB.Si-3.20_2020-02-21.txt</t>
  </si>
  <si>
    <t>SPFB.Si-3.20_2020-02-25.txt</t>
  </si>
  <si>
    <t>SPFB.Si-3.20_2020-02-26.txt</t>
  </si>
  <si>
    <t>SPFB.Si-3.20_2020-02-27.txt</t>
  </si>
  <si>
    <t>SPFB.Si-3.20_2020-02-28.txt</t>
  </si>
  <si>
    <t>SPFB.Si-3.20_2020-03-02.txt</t>
  </si>
  <si>
    <t>SPFB.Si-3.20_2020-03-03.txt</t>
  </si>
  <si>
    <t>SPFB.Si-3.20_2020-03-04.txt</t>
  </si>
  <si>
    <t>SPFB.Si-3.20_2020-03-05.txt</t>
  </si>
  <si>
    <t>SPFB.Si-3.20_2020-03-06.txt</t>
  </si>
  <si>
    <t>SPFB.Si-3.20_2020-03-10.txt</t>
  </si>
  <si>
    <t>SPFB.Si-3.20_2020-03-11.txt</t>
  </si>
  <si>
    <t>SPFB.Si-3.20_2020-03-16.txt</t>
  </si>
  <si>
    <t>SPFB.Si-3.20_2020-03-17.txt</t>
  </si>
  <si>
    <t>SPFB.Si-3.20_2020-03-18.txt</t>
  </si>
  <si>
    <t>a</t>
  </si>
  <si>
    <t>b</t>
  </si>
  <si>
    <t>c</t>
  </si>
  <si>
    <t>d</t>
  </si>
  <si>
    <t>y</t>
  </si>
  <si>
    <t>r2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</si>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</sst>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5.2765966754155728E-2"/>
                  <c:y val="-0.26677165354330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PM!$B$2:$B$58</c:f>
              <c:numCache>
                <c:formatCode>General</c:formatCode>
                <c:ptCount val="57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8</c:v>
                </c:pt>
                <c:pt idx="5">
                  <c:v>4</c:v>
                </c:pt>
                <c:pt idx="6">
                  <c:v>8</c:v>
                </c:pt>
                <c:pt idx="7">
                  <c:v>14</c:v>
                </c:pt>
                <c:pt idx="8">
                  <c:v>33</c:v>
                </c:pt>
                <c:pt idx="9">
                  <c:v>18</c:v>
                </c:pt>
                <c:pt idx="10">
                  <c:v>11</c:v>
                </c:pt>
                <c:pt idx="11">
                  <c:v>11</c:v>
                </c:pt>
                <c:pt idx="12">
                  <c:v>5</c:v>
                </c:pt>
                <c:pt idx="13">
                  <c:v>4</c:v>
                </c:pt>
                <c:pt idx="14">
                  <c:v>10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7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10</c:v>
                </c:pt>
                <c:pt idx="24">
                  <c:v>7</c:v>
                </c:pt>
                <c:pt idx="25">
                  <c:v>8</c:v>
                </c:pt>
                <c:pt idx="26">
                  <c:v>8</c:v>
                </c:pt>
                <c:pt idx="27">
                  <c:v>13</c:v>
                </c:pt>
                <c:pt idx="28">
                  <c:v>10</c:v>
                </c:pt>
                <c:pt idx="29">
                  <c:v>12</c:v>
                </c:pt>
                <c:pt idx="30">
                  <c:v>7</c:v>
                </c:pt>
                <c:pt idx="31">
                  <c:v>11</c:v>
                </c:pt>
                <c:pt idx="32">
                  <c:v>9</c:v>
                </c:pt>
                <c:pt idx="33">
                  <c:v>12</c:v>
                </c:pt>
                <c:pt idx="34">
                  <c:v>11</c:v>
                </c:pt>
                <c:pt idx="35">
                  <c:v>11</c:v>
                </c:pt>
                <c:pt idx="36">
                  <c:v>70</c:v>
                </c:pt>
                <c:pt idx="37">
                  <c:v>7</c:v>
                </c:pt>
                <c:pt idx="38">
                  <c:v>23</c:v>
                </c:pt>
                <c:pt idx="39">
                  <c:v>10</c:v>
                </c:pt>
                <c:pt idx="40">
                  <c:v>8</c:v>
                </c:pt>
                <c:pt idx="41">
                  <c:v>12</c:v>
                </c:pt>
                <c:pt idx="42">
                  <c:v>13</c:v>
                </c:pt>
                <c:pt idx="43">
                  <c:v>100</c:v>
                </c:pt>
                <c:pt idx="44">
                  <c:v>19</c:v>
                </c:pt>
                <c:pt idx="45">
                  <c:v>48</c:v>
                </c:pt>
                <c:pt idx="46">
                  <c:v>190</c:v>
                </c:pt>
                <c:pt idx="47">
                  <c:v>43</c:v>
                </c:pt>
                <c:pt idx="48">
                  <c:v>42</c:v>
                </c:pt>
                <c:pt idx="49">
                  <c:v>13</c:v>
                </c:pt>
                <c:pt idx="50">
                  <c:v>25</c:v>
                </c:pt>
                <c:pt idx="51">
                  <c:v>25</c:v>
                </c:pt>
                <c:pt idx="52">
                  <c:v>657</c:v>
                </c:pt>
                <c:pt idx="53">
                  <c:v>72</c:v>
                </c:pt>
                <c:pt idx="54">
                  <c:v>271</c:v>
                </c:pt>
                <c:pt idx="55">
                  <c:v>94</c:v>
                </c:pt>
                <c:pt idx="56">
                  <c:v>314</c:v>
                </c:pt>
              </c:numCache>
            </c:numRef>
          </c:xVal>
          <c:yVal>
            <c:numRef>
              <c:f>PM!$C$2:$C$58</c:f>
              <c:numCache>
                <c:formatCode>General</c:formatCode>
                <c:ptCount val="57"/>
                <c:pt idx="0">
                  <c:v>24</c:v>
                </c:pt>
                <c:pt idx="1">
                  <c:v>27</c:v>
                </c:pt>
                <c:pt idx="2">
                  <c:v>22</c:v>
                </c:pt>
                <c:pt idx="3">
                  <c:v>28</c:v>
                </c:pt>
                <c:pt idx="4">
                  <c:v>25</c:v>
                </c:pt>
                <c:pt idx="5">
                  <c:v>26</c:v>
                </c:pt>
                <c:pt idx="6">
                  <c:v>29</c:v>
                </c:pt>
                <c:pt idx="7">
                  <c:v>40</c:v>
                </c:pt>
                <c:pt idx="8">
                  <c:v>62</c:v>
                </c:pt>
                <c:pt idx="9">
                  <c:v>41</c:v>
                </c:pt>
                <c:pt idx="10">
                  <c:v>73</c:v>
                </c:pt>
                <c:pt idx="11">
                  <c:v>32</c:v>
                </c:pt>
                <c:pt idx="12">
                  <c:v>33</c:v>
                </c:pt>
                <c:pt idx="13">
                  <c:v>28</c:v>
                </c:pt>
                <c:pt idx="14">
                  <c:v>38</c:v>
                </c:pt>
                <c:pt idx="15">
                  <c:v>80</c:v>
                </c:pt>
                <c:pt idx="16">
                  <c:v>27</c:v>
                </c:pt>
                <c:pt idx="17">
                  <c:v>30</c:v>
                </c:pt>
                <c:pt idx="18">
                  <c:v>21</c:v>
                </c:pt>
                <c:pt idx="19">
                  <c:v>25</c:v>
                </c:pt>
                <c:pt idx="20">
                  <c:v>35</c:v>
                </c:pt>
                <c:pt idx="21">
                  <c:v>22</c:v>
                </c:pt>
                <c:pt idx="22">
                  <c:v>28</c:v>
                </c:pt>
                <c:pt idx="23">
                  <c:v>71</c:v>
                </c:pt>
                <c:pt idx="24">
                  <c:v>61</c:v>
                </c:pt>
                <c:pt idx="25">
                  <c:v>49</c:v>
                </c:pt>
                <c:pt idx="26">
                  <c:v>68</c:v>
                </c:pt>
                <c:pt idx="27">
                  <c:v>80</c:v>
                </c:pt>
                <c:pt idx="28">
                  <c:v>77</c:v>
                </c:pt>
                <c:pt idx="29">
                  <c:v>58</c:v>
                </c:pt>
                <c:pt idx="30">
                  <c:v>72</c:v>
                </c:pt>
                <c:pt idx="31">
                  <c:v>60</c:v>
                </c:pt>
                <c:pt idx="32">
                  <c:v>93</c:v>
                </c:pt>
                <c:pt idx="33">
                  <c:v>61</c:v>
                </c:pt>
                <c:pt idx="34">
                  <c:v>66</c:v>
                </c:pt>
                <c:pt idx="35">
                  <c:v>49</c:v>
                </c:pt>
                <c:pt idx="36">
                  <c:v>119</c:v>
                </c:pt>
                <c:pt idx="37">
                  <c:v>33</c:v>
                </c:pt>
                <c:pt idx="38">
                  <c:v>41</c:v>
                </c:pt>
                <c:pt idx="39">
                  <c:v>72</c:v>
                </c:pt>
                <c:pt idx="40">
                  <c:v>40</c:v>
                </c:pt>
                <c:pt idx="41">
                  <c:v>55</c:v>
                </c:pt>
                <c:pt idx="42">
                  <c:v>66</c:v>
                </c:pt>
                <c:pt idx="43">
                  <c:v>201</c:v>
                </c:pt>
                <c:pt idx="44">
                  <c:v>137</c:v>
                </c:pt>
                <c:pt idx="45">
                  <c:v>167</c:v>
                </c:pt>
                <c:pt idx="46">
                  <c:v>448</c:v>
                </c:pt>
                <c:pt idx="47">
                  <c:v>245</c:v>
                </c:pt>
                <c:pt idx="48">
                  <c:v>263</c:v>
                </c:pt>
                <c:pt idx="49">
                  <c:v>165</c:v>
                </c:pt>
                <c:pt idx="50">
                  <c:v>197</c:v>
                </c:pt>
                <c:pt idx="51">
                  <c:v>328</c:v>
                </c:pt>
                <c:pt idx="52">
                  <c:v>1167</c:v>
                </c:pt>
                <c:pt idx="53">
                  <c:v>368</c:v>
                </c:pt>
                <c:pt idx="54">
                  <c:v>1160</c:v>
                </c:pt>
                <c:pt idx="55">
                  <c:v>759</c:v>
                </c:pt>
                <c:pt idx="56">
                  <c:v>2237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67408"/>
        <c:axId val="130767968"/>
      </c:scatterChart>
      <c:valAx>
        <c:axId val="13076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767968"/>
        <c:crosses val="autoZero"/>
        <c:crossBetween val="midCat"/>
      </c:valAx>
      <c:valAx>
        <c:axId val="13076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76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560070</xdr:colOff>
      <xdr:row>27</xdr:row>
      <xdr:rowOff>91440</xdr:rowOff>
    </xdr:from>
    <xdr:to>
      <xdr:col>9</xdr:col>
      <xdr:colOff>598170</xdr:colOff>
      <xdr:row>42</xdr:row>
      <xdr:rowOff>91440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58"/>
  <sheetViews>
    <sheetView tabSelected="1" zoomScaleNormal="100" workbookViewId="0">
      <selection activeCell="E45" sqref="E45"/>
    </sheetView>
  </sheetViews>
  <sheetFormatPr defaultRowHeight="14.4" x14ac:dyDescent="0.3"/>
  <cols>
    <col min="1" max="1" width="24.44140625" bestFit="1" customWidth="1"/>
    <col min="2" max="2" width="21.21875" bestFit="1" customWidth="1"/>
    <col min="3" max="3" width="18.33203125" bestFit="1" customWidth="1"/>
    <col min="4" max="4" width="11.33203125" customWidth="1"/>
    <col min="5" max="5" width="12.21875" customWidth="1"/>
    <col min="7" max="7" width="12" customWidth="1"/>
    <col min="12" max="12" width="11.44140625" bestFit="1" customWidth="1"/>
  </cols>
  <sheetData>
    <row r="1" spans="1:8" x14ac:dyDescent="0.3">
      <c r="A1" t="s">
        <v>0</v>
      </c>
      <c r="B1" t="s">
        <v>1</v>
      </c>
      <c r="C1" t="s">
        <v>2</v>
      </c>
    </row>
    <row r="2" spans="1:8" x14ac:dyDescent="0.3">
      <c r="A2" t="s">
        <v>3</v>
      </c>
      <c r="B2">
        <v>5</v>
      </c>
      <c r="C2">
        <v>24</v>
      </c>
      <c r="E2" s="3" t="s">
        <v>60</v>
      </c>
      <c r="F2" s="3" t="s">
        <v>61</v>
      </c>
      <c r="G2" s="3" t="s">
        <v>62</v>
      </c>
      <c r="H2" s="3"/>
    </row>
    <row r="3" spans="1:8" x14ac:dyDescent="0.3">
      <c r="A3" t="s">
        <v>4</v>
      </c>
      <c r="B3">
        <v>7</v>
      </c>
      <c r="C3">
        <v>27</v>
      </c>
      <c r="E3">
        <f t="array" ref="E3:G7">LINEST(C2:C58,B2:B58^COLUMN(A:B),1,1)</f>
        <v>-7.4245904937688643E-3</v>
      </c>
      <c r="F3">
        <v>6.8618884319006748</v>
      </c>
      <c r="G3">
        <v>-23.930246165482231</v>
      </c>
    </row>
    <row r="4" spans="1:8" x14ac:dyDescent="0.3">
      <c r="A4" t="s">
        <v>5</v>
      </c>
      <c r="B4">
        <v>8</v>
      </c>
      <c r="C4">
        <v>22</v>
      </c>
      <c r="E4">
        <v>1.0703135424388207E-3</v>
      </c>
      <c r="F4">
        <v>0.61941730036287967</v>
      </c>
      <c r="G4">
        <v>26.152461576955933</v>
      </c>
    </row>
    <row r="5" spans="1:8" x14ac:dyDescent="0.3">
      <c r="A5" t="s">
        <v>6</v>
      </c>
      <c r="B5">
        <v>5</v>
      </c>
      <c r="C5">
        <v>28</v>
      </c>
      <c r="D5" s="2" t="s">
        <v>65</v>
      </c>
      <c r="E5">
        <v>0.80423058655752167</v>
      </c>
      <c r="F5">
        <v>163.87738199812512</v>
      </c>
      <c r="G5" t="e">
        <v>#N/A</v>
      </c>
    </row>
    <row r="6" spans="1:8" x14ac:dyDescent="0.3">
      <c r="A6" t="s">
        <v>7</v>
      </c>
      <c r="B6">
        <v>8</v>
      </c>
      <c r="C6">
        <v>25</v>
      </c>
      <c r="E6">
        <v>110.91735657385131</v>
      </c>
      <c r="F6">
        <v>54</v>
      </c>
      <c r="G6" t="e">
        <v>#N/A</v>
      </c>
    </row>
    <row r="7" spans="1:8" x14ac:dyDescent="0.3">
      <c r="A7" t="s">
        <v>8</v>
      </c>
      <c r="B7">
        <v>4</v>
      </c>
      <c r="C7">
        <v>26</v>
      </c>
      <c r="E7">
        <v>5957547.8753427742</v>
      </c>
      <c r="F7">
        <v>1450213.001850209</v>
      </c>
      <c r="G7" t="e">
        <v>#N/A</v>
      </c>
    </row>
    <row r="8" spans="1:8" x14ac:dyDescent="0.3">
      <c r="A8" t="s">
        <v>9</v>
      </c>
      <c r="B8">
        <v>8</v>
      </c>
      <c r="C8">
        <v>29</v>
      </c>
    </row>
    <row r="9" spans="1:8" x14ac:dyDescent="0.3">
      <c r="A9" t="s">
        <v>10</v>
      </c>
      <c r="B9">
        <v>14</v>
      </c>
      <c r="C9">
        <v>40</v>
      </c>
      <c r="E9" t="s">
        <v>64</v>
      </c>
      <c r="F9" t="s">
        <v>63</v>
      </c>
      <c r="G9" t="s">
        <v>66</v>
      </c>
    </row>
    <row r="10" spans="1:8" x14ac:dyDescent="0.3">
      <c r="A10" t="s">
        <v>11</v>
      </c>
      <c r="B10">
        <v>33</v>
      </c>
      <c r="C10">
        <v>62</v>
      </c>
      <c r="E10">
        <v>500</v>
      </c>
      <c r="F10">
        <f>F$3*F$3-4*E$3*(G$3-E10)</f>
        <v>31.525642751539419</v>
      </c>
      <c r="G10">
        <f>(-F$3+SQRT(F10))/(2*E$3)</f>
        <v>83.985667602676699</v>
      </c>
    </row>
    <row r="11" spans="1:8" x14ac:dyDescent="0.3">
      <c r="A11" t="s">
        <v>12</v>
      </c>
      <c r="B11">
        <v>18</v>
      </c>
      <c r="C11">
        <v>41</v>
      </c>
      <c r="E11">
        <f>E10+100</f>
        <v>600</v>
      </c>
      <c r="F11">
        <f>F$3*F$3-4*E$3*(G$3-E11)</f>
        <v>28.555806554031872</v>
      </c>
      <c r="G11">
        <f>(-F$3+SQRT(F11))/(2*E$3)</f>
        <v>102.23628499446598</v>
      </c>
    </row>
    <row r="12" spans="1:8" x14ac:dyDescent="0.3">
      <c r="A12" t="s">
        <v>13</v>
      </c>
      <c r="B12">
        <v>11</v>
      </c>
      <c r="C12">
        <v>73</v>
      </c>
      <c r="E12">
        <f t="shared" ref="E12:E20" si="0">E11+100</f>
        <v>700</v>
      </c>
      <c r="F12">
        <f t="shared" ref="F12:F20" si="1">F$3*F$3-4*E$3*(G$3-E12)</f>
        <v>25.585970356524328</v>
      </c>
      <c r="G12">
        <f t="shared" ref="G12:G20" si="2">(-F$3+SQRT(F12))/(2*E$3)</f>
        <v>121.46331794516387</v>
      </c>
    </row>
    <row r="13" spans="1:8" x14ac:dyDescent="0.3">
      <c r="A13" t="s">
        <v>14</v>
      </c>
      <c r="B13">
        <v>11</v>
      </c>
      <c r="C13">
        <v>32</v>
      </c>
      <c r="E13">
        <f t="shared" si="0"/>
        <v>800</v>
      </c>
      <c r="F13">
        <f t="shared" si="1"/>
        <v>22.616134159016781</v>
      </c>
      <c r="G13">
        <f t="shared" si="2"/>
        <v>141.84257595680216</v>
      </c>
    </row>
    <row r="14" spans="1:8" x14ac:dyDescent="0.3">
      <c r="A14" t="s">
        <v>15</v>
      </c>
      <c r="B14">
        <v>5</v>
      </c>
      <c r="C14">
        <v>33</v>
      </c>
      <c r="E14">
        <f t="shared" si="0"/>
        <v>900</v>
      </c>
      <c r="F14">
        <f t="shared" si="1"/>
        <v>19.646297961509237</v>
      </c>
      <c r="G14">
        <f t="shared" si="2"/>
        <v>163.60996421969568</v>
      </c>
      <c r="H14" s="1"/>
    </row>
    <row r="15" spans="1:8" x14ac:dyDescent="0.3">
      <c r="A15" t="s">
        <v>16</v>
      </c>
      <c r="B15">
        <v>4</v>
      </c>
      <c r="C15">
        <v>28</v>
      </c>
      <c r="E15">
        <f t="shared" si="0"/>
        <v>1000</v>
      </c>
      <c r="F15">
        <f t="shared" si="1"/>
        <v>16.67646176400169</v>
      </c>
      <c r="G15">
        <f t="shared" si="2"/>
        <v>187.09490148174291</v>
      </c>
    </row>
    <row r="16" spans="1:8" x14ac:dyDescent="0.3">
      <c r="A16" t="s">
        <v>17</v>
      </c>
      <c r="B16">
        <v>10</v>
      </c>
      <c r="C16">
        <v>38</v>
      </c>
      <c r="E16">
        <f t="shared" si="0"/>
        <v>1100</v>
      </c>
      <c r="F16">
        <f t="shared" si="1"/>
        <v>13.706625566494147</v>
      </c>
      <c r="G16">
        <f t="shared" si="2"/>
        <v>212.7822684684692</v>
      </c>
    </row>
    <row r="17" spans="1:7" x14ac:dyDescent="0.3">
      <c r="A17" t="s">
        <v>18</v>
      </c>
      <c r="B17">
        <v>5</v>
      </c>
      <c r="C17">
        <v>80</v>
      </c>
      <c r="E17">
        <f t="shared" si="0"/>
        <v>1200</v>
      </c>
      <c r="F17">
        <f t="shared" si="1"/>
        <v>10.736789368986599</v>
      </c>
      <c r="G17">
        <f t="shared" si="2"/>
        <v>241.43987432142137</v>
      </c>
    </row>
    <row r="18" spans="1:7" x14ac:dyDescent="0.3">
      <c r="A18" t="s">
        <v>19</v>
      </c>
      <c r="B18">
        <v>5</v>
      </c>
      <c r="C18">
        <v>27</v>
      </c>
      <c r="E18">
        <f t="shared" si="0"/>
        <v>1300</v>
      </c>
      <c r="F18">
        <f t="shared" si="1"/>
        <v>7.7669531714790523</v>
      </c>
      <c r="G18">
        <f t="shared" si="2"/>
        <v>274.42342023954234</v>
      </c>
    </row>
    <row r="19" spans="1:7" x14ac:dyDescent="0.3">
      <c r="A19" t="s">
        <v>20</v>
      </c>
      <c r="B19">
        <v>5</v>
      </c>
      <c r="C19">
        <v>30</v>
      </c>
      <c r="E19">
        <f t="shared" si="0"/>
        <v>1400</v>
      </c>
      <c r="F19">
        <f t="shared" si="1"/>
        <v>4.7971169739715052</v>
      </c>
      <c r="G19">
        <f t="shared" si="2"/>
        <v>314.60699834490026</v>
      </c>
    </row>
    <row r="20" spans="1:7" x14ac:dyDescent="0.3">
      <c r="A20" t="s">
        <v>21</v>
      </c>
      <c r="B20">
        <v>7</v>
      </c>
      <c r="C20">
        <v>21</v>
      </c>
      <c r="E20">
        <f t="shared" si="0"/>
        <v>1500</v>
      </c>
      <c r="F20">
        <f t="shared" si="1"/>
        <v>1.827280776463958</v>
      </c>
      <c r="G20">
        <f t="shared" si="2"/>
        <v>371.0722455501803</v>
      </c>
    </row>
    <row r="21" spans="1:7" x14ac:dyDescent="0.3">
      <c r="A21" t="s">
        <v>22</v>
      </c>
      <c r="B21">
        <v>6</v>
      </c>
      <c r="C21">
        <v>25</v>
      </c>
    </row>
    <row r="22" spans="1:7" x14ac:dyDescent="0.3">
      <c r="A22" t="s">
        <v>23</v>
      </c>
      <c r="B22">
        <v>7</v>
      </c>
      <c r="C22">
        <v>35</v>
      </c>
    </row>
    <row r="23" spans="1:7" x14ac:dyDescent="0.3">
      <c r="A23" t="s">
        <v>24</v>
      </c>
      <c r="B23">
        <v>6</v>
      </c>
      <c r="C23">
        <v>22</v>
      </c>
    </row>
    <row r="24" spans="1:7" x14ac:dyDescent="0.3">
      <c r="A24" t="s">
        <v>25</v>
      </c>
      <c r="B24">
        <v>6</v>
      </c>
      <c r="C24">
        <v>28</v>
      </c>
    </row>
    <row r="25" spans="1:7" x14ac:dyDescent="0.3">
      <c r="A25" t="s">
        <v>26</v>
      </c>
      <c r="B25">
        <v>10</v>
      </c>
      <c r="C25">
        <v>71</v>
      </c>
    </row>
    <row r="26" spans="1:7" x14ac:dyDescent="0.3">
      <c r="A26" t="s">
        <v>27</v>
      </c>
      <c r="B26">
        <v>7</v>
      </c>
      <c r="C26">
        <v>61</v>
      </c>
    </row>
    <row r="27" spans="1:7" x14ac:dyDescent="0.3">
      <c r="A27" t="s">
        <v>28</v>
      </c>
      <c r="B27">
        <v>8</v>
      </c>
      <c r="C27">
        <v>49</v>
      </c>
    </row>
    <row r="28" spans="1:7" x14ac:dyDescent="0.3">
      <c r="A28" t="s">
        <v>29</v>
      </c>
      <c r="B28">
        <v>8</v>
      </c>
      <c r="C28">
        <v>68</v>
      </c>
    </row>
    <row r="29" spans="1:7" x14ac:dyDescent="0.3">
      <c r="A29" t="s">
        <v>30</v>
      </c>
      <c r="B29">
        <v>13</v>
      </c>
      <c r="C29">
        <v>80</v>
      </c>
    </row>
    <row r="30" spans="1:7" x14ac:dyDescent="0.3">
      <c r="A30" t="s">
        <v>31</v>
      </c>
      <c r="B30">
        <v>10</v>
      </c>
      <c r="C30">
        <v>77</v>
      </c>
    </row>
    <row r="31" spans="1:7" x14ac:dyDescent="0.3">
      <c r="A31" t="s">
        <v>32</v>
      </c>
      <c r="B31">
        <v>12</v>
      </c>
      <c r="C31">
        <v>58</v>
      </c>
    </row>
    <row r="32" spans="1:7" x14ac:dyDescent="0.3">
      <c r="A32" t="s">
        <v>33</v>
      </c>
      <c r="B32">
        <v>7</v>
      </c>
      <c r="C32">
        <v>72</v>
      </c>
    </row>
    <row r="33" spans="1:3" x14ac:dyDescent="0.3">
      <c r="A33" t="s">
        <v>34</v>
      </c>
      <c r="B33">
        <v>11</v>
      </c>
      <c r="C33">
        <v>60</v>
      </c>
    </row>
    <row r="34" spans="1:3" x14ac:dyDescent="0.3">
      <c r="A34" t="s">
        <v>35</v>
      </c>
      <c r="B34">
        <v>9</v>
      </c>
      <c r="C34">
        <v>93</v>
      </c>
    </row>
    <row r="35" spans="1:3" x14ac:dyDescent="0.3">
      <c r="A35" t="s">
        <v>36</v>
      </c>
      <c r="B35">
        <v>12</v>
      </c>
      <c r="C35">
        <v>61</v>
      </c>
    </row>
    <row r="36" spans="1:3" x14ac:dyDescent="0.3">
      <c r="A36" t="s">
        <v>37</v>
      </c>
      <c r="B36">
        <v>11</v>
      </c>
      <c r="C36">
        <v>66</v>
      </c>
    </row>
    <row r="37" spans="1:3" x14ac:dyDescent="0.3">
      <c r="A37" t="s">
        <v>38</v>
      </c>
      <c r="B37">
        <v>11</v>
      </c>
      <c r="C37">
        <v>49</v>
      </c>
    </row>
    <row r="38" spans="1:3" x14ac:dyDescent="0.3">
      <c r="A38" t="s">
        <v>39</v>
      </c>
      <c r="B38">
        <v>70</v>
      </c>
      <c r="C38">
        <v>119</v>
      </c>
    </row>
    <row r="39" spans="1:3" x14ac:dyDescent="0.3">
      <c r="A39" t="s">
        <v>40</v>
      </c>
      <c r="B39">
        <v>7</v>
      </c>
      <c r="C39">
        <v>33</v>
      </c>
    </row>
    <row r="40" spans="1:3" x14ac:dyDescent="0.3">
      <c r="A40" t="s">
        <v>41</v>
      </c>
      <c r="B40">
        <v>23</v>
      </c>
      <c r="C40">
        <v>41</v>
      </c>
    </row>
    <row r="41" spans="1:3" x14ac:dyDescent="0.3">
      <c r="A41" t="s">
        <v>42</v>
      </c>
      <c r="B41">
        <v>10</v>
      </c>
      <c r="C41">
        <v>72</v>
      </c>
    </row>
    <row r="42" spans="1:3" x14ac:dyDescent="0.3">
      <c r="A42" t="s">
        <v>43</v>
      </c>
      <c r="B42">
        <v>8</v>
      </c>
      <c r="C42">
        <v>40</v>
      </c>
    </row>
    <row r="43" spans="1:3" x14ac:dyDescent="0.3">
      <c r="A43" t="s">
        <v>44</v>
      </c>
      <c r="B43">
        <v>12</v>
      </c>
      <c r="C43">
        <v>55</v>
      </c>
    </row>
    <row r="44" spans="1:3" x14ac:dyDescent="0.3">
      <c r="A44" t="s">
        <v>45</v>
      </c>
      <c r="B44">
        <v>13</v>
      </c>
      <c r="C44">
        <v>66</v>
      </c>
    </row>
    <row r="45" spans="1:3" x14ac:dyDescent="0.3">
      <c r="A45" t="s">
        <v>46</v>
      </c>
      <c r="B45">
        <v>100</v>
      </c>
      <c r="C45">
        <v>201</v>
      </c>
    </row>
    <row r="46" spans="1:3" x14ac:dyDescent="0.3">
      <c r="A46" t="s">
        <v>47</v>
      </c>
      <c r="B46">
        <v>19</v>
      </c>
      <c r="C46">
        <v>137</v>
      </c>
    </row>
    <row r="47" spans="1:3" x14ac:dyDescent="0.3">
      <c r="A47" t="s">
        <v>48</v>
      </c>
      <c r="B47">
        <v>48</v>
      </c>
      <c r="C47">
        <v>167</v>
      </c>
    </row>
    <row r="48" spans="1:3" x14ac:dyDescent="0.3">
      <c r="A48" t="s">
        <v>49</v>
      </c>
      <c r="B48">
        <v>190</v>
      </c>
      <c r="C48">
        <v>448</v>
      </c>
    </row>
    <row r="49" spans="1:3" x14ac:dyDescent="0.3">
      <c r="A49" t="s">
        <v>50</v>
      </c>
      <c r="B49">
        <v>43</v>
      </c>
      <c r="C49">
        <v>245</v>
      </c>
    </row>
    <row r="50" spans="1:3" x14ac:dyDescent="0.3">
      <c r="A50" t="s">
        <v>51</v>
      </c>
      <c r="B50">
        <v>42</v>
      </c>
      <c r="C50">
        <v>263</v>
      </c>
    </row>
    <row r="51" spans="1:3" x14ac:dyDescent="0.3">
      <c r="A51" t="s">
        <v>52</v>
      </c>
      <c r="B51">
        <v>13</v>
      </c>
      <c r="C51">
        <v>165</v>
      </c>
    </row>
    <row r="52" spans="1:3" x14ac:dyDescent="0.3">
      <c r="A52" t="s">
        <v>53</v>
      </c>
      <c r="B52">
        <v>25</v>
      </c>
      <c r="C52">
        <v>197</v>
      </c>
    </row>
    <row r="53" spans="1:3" x14ac:dyDescent="0.3">
      <c r="A53" t="s">
        <v>54</v>
      </c>
      <c r="B53">
        <v>25</v>
      </c>
      <c r="C53">
        <v>328</v>
      </c>
    </row>
    <row r="54" spans="1:3" x14ac:dyDescent="0.3">
      <c r="A54" t="s">
        <v>55</v>
      </c>
      <c r="B54">
        <v>657</v>
      </c>
      <c r="C54">
        <v>1167</v>
      </c>
    </row>
    <row r="55" spans="1:3" x14ac:dyDescent="0.3">
      <c r="A55" t="s">
        <v>56</v>
      </c>
      <c r="B55">
        <v>72</v>
      </c>
      <c r="C55">
        <v>368</v>
      </c>
    </row>
    <row r="56" spans="1:3" x14ac:dyDescent="0.3">
      <c r="A56" t="s">
        <v>57</v>
      </c>
      <c r="B56">
        <v>271</v>
      </c>
      <c r="C56">
        <v>1160</v>
      </c>
    </row>
    <row r="57" spans="1:3" x14ac:dyDescent="0.3">
      <c r="A57" t="s">
        <v>58</v>
      </c>
      <c r="B57">
        <v>94</v>
      </c>
      <c r="C57">
        <v>759</v>
      </c>
    </row>
    <row r="58" spans="1:3" x14ac:dyDescent="0.3">
      <c r="A58" t="s">
        <v>59</v>
      </c>
      <c r="B58">
        <v>314</v>
      </c>
      <c r="C58">
        <v>2237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58"/>
  <sheetViews>
    <sheetView workbookViewId="0">
      <selection activeCell="B4" sqref="B4"/>
    </sheetView>
  </sheetViews>
  <sheetFormatPr defaultRowHeight="14.4" x14ac:dyDescent="0.3"/>
  <cols>
    <col min="1" max="1" width="24.44140625" bestFit="1" customWidth="1"/>
    <col min="2" max="2" width="19" bestFit="1" customWidth="1"/>
    <col min="3" max="3" width="16.1093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95</v>
      </c>
      <c r="C2">
        <v>602</v>
      </c>
    </row>
    <row r="3" spans="1:3" x14ac:dyDescent="0.3">
      <c r="A3" t="s">
        <v>4</v>
      </c>
      <c r="B3">
        <v>72</v>
      </c>
      <c r="C3">
        <v>673</v>
      </c>
    </row>
    <row r="4" spans="1:3" x14ac:dyDescent="0.3">
      <c r="A4" t="s">
        <v>5</v>
      </c>
      <c r="B4">
        <v>133</v>
      </c>
      <c r="C4">
        <v>547</v>
      </c>
    </row>
    <row r="5" spans="1:3" x14ac:dyDescent="0.3">
      <c r="A5" t="s">
        <v>6</v>
      </c>
      <c r="B5">
        <v>112</v>
      </c>
      <c r="C5">
        <v>605</v>
      </c>
    </row>
    <row r="6" spans="1:3" x14ac:dyDescent="0.3">
      <c r="A6" t="s">
        <v>7</v>
      </c>
      <c r="B6">
        <v>266</v>
      </c>
      <c r="C6">
        <v>848</v>
      </c>
    </row>
    <row r="7" spans="1:3" x14ac:dyDescent="0.3">
      <c r="A7" t="s">
        <v>8</v>
      </c>
      <c r="B7">
        <v>70</v>
      </c>
      <c r="C7">
        <v>580</v>
      </c>
    </row>
    <row r="8" spans="1:3" x14ac:dyDescent="0.3">
      <c r="A8" t="s">
        <v>9</v>
      </c>
      <c r="B8">
        <v>189</v>
      </c>
      <c r="C8">
        <v>971</v>
      </c>
    </row>
    <row r="9" spans="1:3" x14ac:dyDescent="0.3">
      <c r="A9" t="s">
        <v>10</v>
      </c>
      <c r="B9">
        <v>248</v>
      </c>
      <c r="C9">
        <v>1151</v>
      </c>
    </row>
    <row r="10" spans="1:3" x14ac:dyDescent="0.3">
      <c r="A10" t="s">
        <v>11</v>
      </c>
      <c r="B10">
        <v>403</v>
      </c>
      <c r="C10">
        <v>1200</v>
      </c>
    </row>
    <row r="11" spans="1:3" x14ac:dyDescent="0.3">
      <c r="A11" t="s">
        <v>12</v>
      </c>
      <c r="B11">
        <v>401</v>
      </c>
      <c r="C11">
        <v>1031</v>
      </c>
    </row>
    <row r="12" spans="1:3" x14ac:dyDescent="0.3">
      <c r="A12" t="s">
        <v>13</v>
      </c>
      <c r="B12">
        <v>269</v>
      </c>
      <c r="C12">
        <v>1605</v>
      </c>
    </row>
    <row r="13" spans="1:3" x14ac:dyDescent="0.3">
      <c r="A13" t="s">
        <v>14</v>
      </c>
      <c r="B13">
        <v>221</v>
      </c>
      <c r="C13">
        <v>764</v>
      </c>
    </row>
    <row r="14" spans="1:3" x14ac:dyDescent="0.3">
      <c r="A14" t="s">
        <v>15</v>
      </c>
      <c r="B14">
        <v>131</v>
      </c>
      <c r="C14">
        <v>908</v>
      </c>
    </row>
    <row r="15" spans="1:3" x14ac:dyDescent="0.3">
      <c r="A15" t="s">
        <v>16</v>
      </c>
      <c r="B15">
        <v>139</v>
      </c>
      <c r="C15">
        <v>813</v>
      </c>
    </row>
    <row r="16" spans="1:3" x14ac:dyDescent="0.3">
      <c r="A16" t="s">
        <v>17</v>
      </c>
      <c r="B16">
        <v>188</v>
      </c>
      <c r="C16">
        <v>803</v>
      </c>
    </row>
    <row r="17" spans="1:3" x14ac:dyDescent="0.3">
      <c r="A17" t="s">
        <v>18</v>
      </c>
      <c r="B17">
        <v>124</v>
      </c>
      <c r="C17">
        <v>2109</v>
      </c>
    </row>
    <row r="18" spans="1:3" x14ac:dyDescent="0.3">
      <c r="A18" t="s">
        <v>19</v>
      </c>
      <c r="B18">
        <v>112</v>
      </c>
      <c r="C18">
        <v>712</v>
      </c>
    </row>
    <row r="19" spans="1:3" x14ac:dyDescent="0.3">
      <c r="A19" t="s">
        <v>20</v>
      </c>
      <c r="B19">
        <v>113</v>
      </c>
      <c r="C19">
        <v>736</v>
      </c>
    </row>
    <row r="20" spans="1:3" x14ac:dyDescent="0.3">
      <c r="A20" t="s">
        <v>21</v>
      </c>
      <c r="B20">
        <v>121</v>
      </c>
      <c r="C20">
        <v>556</v>
      </c>
    </row>
    <row r="21" spans="1:3" x14ac:dyDescent="0.3">
      <c r="A21" t="s">
        <v>22</v>
      </c>
      <c r="B21">
        <v>242</v>
      </c>
      <c r="C21">
        <v>825</v>
      </c>
    </row>
    <row r="22" spans="1:3" x14ac:dyDescent="0.3">
      <c r="A22" t="s">
        <v>23</v>
      </c>
      <c r="B22">
        <v>103</v>
      </c>
      <c r="C22">
        <v>729</v>
      </c>
    </row>
    <row r="23" spans="1:3" x14ac:dyDescent="0.3">
      <c r="A23" t="s">
        <v>24</v>
      </c>
      <c r="B23">
        <v>139</v>
      </c>
      <c r="C23">
        <v>647</v>
      </c>
    </row>
    <row r="24" spans="1:3" x14ac:dyDescent="0.3">
      <c r="A24" t="s">
        <v>25</v>
      </c>
      <c r="B24">
        <v>88</v>
      </c>
      <c r="C24">
        <v>742</v>
      </c>
    </row>
    <row r="25" spans="1:3" x14ac:dyDescent="0.3">
      <c r="A25" t="s">
        <v>26</v>
      </c>
      <c r="B25">
        <v>226</v>
      </c>
      <c r="C25">
        <v>1412</v>
      </c>
    </row>
    <row r="26" spans="1:3" x14ac:dyDescent="0.3">
      <c r="A26" t="s">
        <v>27</v>
      </c>
      <c r="B26">
        <v>145</v>
      </c>
      <c r="C26">
        <v>1383</v>
      </c>
    </row>
    <row r="27" spans="1:3" x14ac:dyDescent="0.3">
      <c r="A27" t="s">
        <v>28</v>
      </c>
      <c r="B27">
        <v>160</v>
      </c>
      <c r="C27">
        <v>1179</v>
      </c>
    </row>
    <row r="28" spans="1:3" x14ac:dyDescent="0.3">
      <c r="A28" t="s">
        <v>29</v>
      </c>
      <c r="B28">
        <v>210</v>
      </c>
      <c r="C28">
        <v>1517</v>
      </c>
    </row>
    <row r="29" spans="1:3" x14ac:dyDescent="0.3">
      <c r="A29" t="s">
        <v>30</v>
      </c>
      <c r="B29">
        <v>261</v>
      </c>
      <c r="C29">
        <v>1864</v>
      </c>
    </row>
    <row r="30" spans="1:3" x14ac:dyDescent="0.3">
      <c r="A30" t="s">
        <v>31</v>
      </c>
      <c r="B30">
        <v>225</v>
      </c>
      <c r="C30">
        <v>2068</v>
      </c>
    </row>
    <row r="31" spans="1:3" x14ac:dyDescent="0.3">
      <c r="A31" t="s">
        <v>32</v>
      </c>
      <c r="B31">
        <v>274</v>
      </c>
      <c r="C31">
        <v>1523</v>
      </c>
    </row>
    <row r="32" spans="1:3" x14ac:dyDescent="0.3">
      <c r="A32" t="s">
        <v>33</v>
      </c>
      <c r="B32">
        <v>248</v>
      </c>
      <c r="C32">
        <v>2018</v>
      </c>
    </row>
    <row r="33" spans="1:3" x14ac:dyDescent="0.3">
      <c r="A33" t="s">
        <v>34</v>
      </c>
      <c r="B33">
        <v>307</v>
      </c>
      <c r="C33">
        <v>1570</v>
      </c>
    </row>
    <row r="34" spans="1:3" x14ac:dyDescent="0.3">
      <c r="A34" t="s">
        <v>35</v>
      </c>
      <c r="B34">
        <v>243</v>
      </c>
      <c r="C34">
        <v>2160</v>
      </c>
    </row>
    <row r="35" spans="1:3" x14ac:dyDescent="0.3">
      <c r="A35" t="s">
        <v>36</v>
      </c>
      <c r="B35">
        <v>318</v>
      </c>
      <c r="C35">
        <v>1635</v>
      </c>
    </row>
    <row r="36" spans="1:3" x14ac:dyDescent="0.3">
      <c r="A36" t="s">
        <v>37</v>
      </c>
      <c r="B36">
        <v>412</v>
      </c>
      <c r="C36">
        <v>1797</v>
      </c>
    </row>
    <row r="37" spans="1:3" x14ac:dyDescent="0.3">
      <c r="A37" t="s">
        <v>38</v>
      </c>
      <c r="B37">
        <v>305</v>
      </c>
      <c r="C37">
        <v>1377</v>
      </c>
    </row>
    <row r="38" spans="1:3" x14ac:dyDescent="0.3">
      <c r="A38" t="s">
        <v>39</v>
      </c>
      <c r="B38">
        <v>634</v>
      </c>
      <c r="C38">
        <v>1895</v>
      </c>
    </row>
    <row r="39" spans="1:3" x14ac:dyDescent="0.3">
      <c r="A39" t="s">
        <v>40</v>
      </c>
      <c r="B39">
        <v>263</v>
      </c>
      <c r="C39">
        <v>1036</v>
      </c>
    </row>
    <row r="40" spans="1:3" x14ac:dyDescent="0.3">
      <c r="A40" t="s">
        <v>41</v>
      </c>
      <c r="B40">
        <v>380</v>
      </c>
      <c r="C40">
        <v>923</v>
      </c>
    </row>
    <row r="41" spans="1:3" x14ac:dyDescent="0.3">
      <c r="A41" t="s">
        <v>42</v>
      </c>
      <c r="B41">
        <v>312</v>
      </c>
      <c r="C41">
        <v>1837</v>
      </c>
    </row>
    <row r="42" spans="1:3" x14ac:dyDescent="0.3">
      <c r="A42" t="s">
        <v>43</v>
      </c>
      <c r="B42">
        <v>266</v>
      </c>
      <c r="C42">
        <v>1084</v>
      </c>
    </row>
    <row r="43" spans="1:3" x14ac:dyDescent="0.3">
      <c r="A43" t="s">
        <v>44</v>
      </c>
      <c r="B43">
        <v>170</v>
      </c>
      <c r="C43">
        <v>1400</v>
      </c>
    </row>
    <row r="44" spans="1:3" x14ac:dyDescent="0.3">
      <c r="A44" t="s">
        <v>45</v>
      </c>
      <c r="B44">
        <v>254</v>
      </c>
      <c r="C44">
        <v>1649</v>
      </c>
    </row>
    <row r="45" spans="1:3" x14ac:dyDescent="0.3">
      <c r="A45" t="s">
        <v>46</v>
      </c>
      <c r="B45">
        <v>828</v>
      </c>
      <c r="C45">
        <v>3220</v>
      </c>
    </row>
    <row r="46" spans="1:3" x14ac:dyDescent="0.3">
      <c r="A46" t="s">
        <v>47</v>
      </c>
      <c r="B46">
        <v>331</v>
      </c>
      <c r="C46">
        <v>3199</v>
      </c>
    </row>
    <row r="47" spans="1:3" x14ac:dyDescent="0.3">
      <c r="A47" t="s">
        <v>48</v>
      </c>
      <c r="B47">
        <v>473</v>
      </c>
      <c r="C47">
        <v>3247</v>
      </c>
    </row>
    <row r="48" spans="1:3" x14ac:dyDescent="0.3">
      <c r="A48" t="s">
        <v>49</v>
      </c>
      <c r="B48">
        <v>2025</v>
      </c>
      <c r="C48">
        <v>8505</v>
      </c>
    </row>
    <row r="49" spans="1:3" x14ac:dyDescent="0.3">
      <c r="A49" t="s">
        <v>50</v>
      </c>
      <c r="B49">
        <v>934</v>
      </c>
      <c r="C49">
        <v>5513</v>
      </c>
    </row>
    <row r="50" spans="1:3" x14ac:dyDescent="0.3">
      <c r="A50" t="s">
        <v>51</v>
      </c>
      <c r="B50">
        <v>708</v>
      </c>
      <c r="C50">
        <v>5885</v>
      </c>
    </row>
    <row r="51" spans="1:3" x14ac:dyDescent="0.3">
      <c r="A51" t="s">
        <v>52</v>
      </c>
      <c r="B51">
        <v>427</v>
      </c>
      <c r="C51">
        <v>4135</v>
      </c>
    </row>
    <row r="52" spans="1:3" x14ac:dyDescent="0.3">
      <c r="A52" t="s">
        <v>53</v>
      </c>
      <c r="B52">
        <v>345</v>
      </c>
      <c r="C52">
        <v>4004</v>
      </c>
    </row>
    <row r="53" spans="1:3" x14ac:dyDescent="0.3">
      <c r="A53" t="s">
        <v>54</v>
      </c>
      <c r="B53">
        <v>587</v>
      </c>
      <c r="C53">
        <v>7558</v>
      </c>
    </row>
    <row r="54" spans="1:3" x14ac:dyDescent="0.3">
      <c r="A54" t="s">
        <v>55</v>
      </c>
      <c r="B54">
        <v>7053</v>
      </c>
      <c r="C54">
        <v>16935</v>
      </c>
    </row>
    <row r="55" spans="1:3" x14ac:dyDescent="0.3">
      <c r="A55" t="s">
        <v>56</v>
      </c>
      <c r="B55">
        <v>2078</v>
      </c>
      <c r="C55">
        <v>9794</v>
      </c>
    </row>
    <row r="56" spans="1:3" x14ac:dyDescent="0.3">
      <c r="A56" t="s">
        <v>57</v>
      </c>
      <c r="B56">
        <v>4872</v>
      </c>
      <c r="C56">
        <v>27735</v>
      </c>
    </row>
    <row r="57" spans="1:3" x14ac:dyDescent="0.3">
      <c r="A57" t="s">
        <v>58</v>
      </c>
      <c r="B57">
        <v>2104</v>
      </c>
      <c r="C57">
        <v>18848</v>
      </c>
    </row>
    <row r="58" spans="1:3" x14ac:dyDescent="0.3">
      <c r="A58" t="s">
        <v>59</v>
      </c>
      <c r="B58">
        <v>6998</v>
      </c>
      <c r="C58">
        <v>46174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31</v>
      </c>
      <c r="C2">
        <v>141</v>
      </c>
    </row>
    <row r="3" spans="1:3" x14ac:dyDescent="0.3">
      <c r="A3" t="s">
        <v>4</v>
      </c>
      <c r="B3">
        <v>22</v>
      </c>
      <c r="C3">
        <v>171</v>
      </c>
    </row>
    <row r="4" spans="1:3" x14ac:dyDescent="0.3">
      <c r="A4" t="s">
        <v>5</v>
      </c>
      <c r="B4">
        <v>40</v>
      </c>
      <c r="C4">
        <v>120</v>
      </c>
    </row>
    <row r="5" spans="1:3" x14ac:dyDescent="0.3">
      <c r="A5" t="s">
        <v>6</v>
      </c>
      <c r="B5">
        <v>25</v>
      </c>
      <c r="C5">
        <v>162</v>
      </c>
    </row>
    <row r="6" spans="1:3" x14ac:dyDescent="0.3">
      <c r="A6" t="s">
        <v>7</v>
      </c>
      <c r="B6">
        <v>38</v>
      </c>
      <c r="C6">
        <v>151</v>
      </c>
    </row>
    <row r="7" spans="1:3" x14ac:dyDescent="0.3">
      <c r="A7" t="s">
        <v>8</v>
      </c>
      <c r="B7">
        <v>17</v>
      </c>
      <c r="C7">
        <v>150</v>
      </c>
    </row>
    <row r="8" spans="1:3" x14ac:dyDescent="0.3">
      <c r="A8" t="s">
        <v>9</v>
      </c>
      <c r="B8">
        <v>47</v>
      </c>
      <c r="C8">
        <v>223</v>
      </c>
    </row>
    <row r="9" spans="1:3" x14ac:dyDescent="0.3">
      <c r="A9" t="s">
        <v>10</v>
      </c>
      <c r="B9">
        <v>68</v>
      </c>
      <c r="C9">
        <v>271</v>
      </c>
    </row>
    <row r="10" spans="1:3" x14ac:dyDescent="0.3">
      <c r="A10" t="s">
        <v>11</v>
      </c>
      <c r="B10">
        <v>115</v>
      </c>
      <c r="C10">
        <v>313</v>
      </c>
    </row>
    <row r="11" spans="1:3" x14ac:dyDescent="0.3">
      <c r="A11" t="s">
        <v>12</v>
      </c>
      <c r="B11">
        <v>107</v>
      </c>
      <c r="C11">
        <v>253</v>
      </c>
    </row>
    <row r="12" spans="1:3" x14ac:dyDescent="0.3">
      <c r="A12" t="s">
        <v>13</v>
      </c>
      <c r="B12">
        <v>67</v>
      </c>
      <c r="C12">
        <v>373</v>
      </c>
    </row>
    <row r="13" spans="1:3" x14ac:dyDescent="0.3">
      <c r="A13" t="s">
        <v>14</v>
      </c>
      <c r="B13">
        <v>69</v>
      </c>
      <c r="C13">
        <v>197</v>
      </c>
    </row>
    <row r="14" spans="1:3" x14ac:dyDescent="0.3">
      <c r="A14" t="s">
        <v>15</v>
      </c>
      <c r="B14">
        <v>33</v>
      </c>
      <c r="C14">
        <v>211</v>
      </c>
    </row>
    <row r="15" spans="1:3" x14ac:dyDescent="0.3">
      <c r="A15" t="s">
        <v>16</v>
      </c>
      <c r="B15">
        <v>34</v>
      </c>
      <c r="C15">
        <v>185</v>
      </c>
    </row>
    <row r="16" spans="1:3" x14ac:dyDescent="0.3">
      <c r="A16" t="s">
        <v>17</v>
      </c>
      <c r="B16">
        <v>37</v>
      </c>
      <c r="C16">
        <v>183</v>
      </c>
    </row>
    <row r="17" spans="1:3" x14ac:dyDescent="0.3">
      <c r="A17" t="s">
        <v>18</v>
      </c>
      <c r="B17">
        <v>30</v>
      </c>
      <c r="C17">
        <v>411</v>
      </c>
    </row>
    <row r="18" spans="1:3" x14ac:dyDescent="0.3">
      <c r="A18" t="s">
        <v>19</v>
      </c>
      <c r="B18">
        <v>29</v>
      </c>
      <c r="C18">
        <v>168</v>
      </c>
    </row>
    <row r="19" spans="1:3" x14ac:dyDescent="0.3">
      <c r="A19" t="s">
        <v>20</v>
      </c>
      <c r="B19">
        <v>27</v>
      </c>
      <c r="C19">
        <v>152</v>
      </c>
    </row>
    <row r="20" spans="1:3" x14ac:dyDescent="0.3">
      <c r="A20" t="s">
        <v>21</v>
      </c>
      <c r="B20">
        <v>30</v>
      </c>
      <c r="C20">
        <v>129</v>
      </c>
    </row>
    <row r="21" spans="1:3" x14ac:dyDescent="0.3">
      <c r="A21" t="s">
        <v>22</v>
      </c>
      <c r="B21">
        <v>52</v>
      </c>
      <c r="C21">
        <v>202</v>
      </c>
    </row>
    <row r="22" spans="1:3" x14ac:dyDescent="0.3">
      <c r="A22" t="s">
        <v>23</v>
      </c>
      <c r="B22">
        <v>29</v>
      </c>
      <c r="C22">
        <v>188</v>
      </c>
    </row>
    <row r="23" spans="1:3" x14ac:dyDescent="0.3">
      <c r="A23" t="s">
        <v>24</v>
      </c>
      <c r="B23">
        <v>44</v>
      </c>
      <c r="C23">
        <v>160</v>
      </c>
    </row>
    <row r="24" spans="1:3" x14ac:dyDescent="0.3">
      <c r="A24" t="s">
        <v>25</v>
      </c>
      <c r="B24">
        <v>24</v>
      </c>
      <c r="C24">
        <v>184</v>
      </c>
    </row>
    <row r="25" spans="1:3" x14ac:dyDescent="0.3">
      <c r="A25" t="s">
        <v>26</v>
      </c>
      <c r="B25">
        <v>54</v>
      </c>
      <c r="C25">
        <v>325</v>
      </c>
    </row>
    <row r="26" spans="1:3" x14ac:dyDescent="0.3">
      <c r="A26" t="s">
        <v>27</v>
      </c>
      <c r="B26">
        <v>37</v>
      </c>
      <c r="C26">
        <v>345</v>
      </c>
    </row>
    <row r="27" spans="1:3" x14ac:dyDescent="0.3">
      <c r="A27" t="s">
        <v>28</v>
      </c>
      <c r="B27">
        <v>33</v>
      </c>
      <c r="C27">
        <v>289</v>
      </c>
    </row>
    <row r="28" spans="1:3" x14ac:dyDescent="0.3">
      <c r="A28" t="s">
        <v>29</v>
      </c>
      <c r="B28">
        <v>48</v>
      </c>
      <c r="C28">
        <v>378</v>
      </c>
    </row>
    <row r="29" spans="1:3" x14ac:dyDescent="0.3">
      <c r="A29" t="s">
        <v>30</v>
      </c>
      <c r="B29">
        <v>71</v>
      </c>
      <c r="C29">
        <v>450</v>
      </c>
    </row>
    <row r="30" spans="1:3" x14ac:dyDescent="0.3">
      <c r="A30" t="s">
        <v>31</v>
      </c>
      <c r="B30">
        <v>55</v>
      </c>
      <c r="C30">
        <v>488</v>
      </c>
    </row>
    <row r="31" spans="1:3" x14ac:dyDescent="0.3">
      <c r="A31" t="s">
        <v>32</v>
      </c>
      <c r="B31">
        <v>76</v>
      </c>
      <c r="C31">
        <v>368</v>
      </c>
    </row>
    <row r="32" spans="1:3" x14ac:dyDescent="0.3">
      <c r="A32" t="s">
        <v>33</v>
      </c>
      <c r="B32">
        <v>58</v>
      </c>
      <c r="C32">
        <v>504</v>
      </c>
    </row>
    <row r="33" spans="1:3" x14ac:dyDescent="0.3">
      <c r="A33" t="s">
        <v>34</v>
      </c>
      <c r="B33">
        <v>81</v>
      </c>
      <c r="C33">
        <v>396</v>
      </c>
    </row>
    <row r="34" spans="1:3" x14ac:dyDescent="0.3">
      <c r="A34" t="s">
        <v>35</v>
      </c>
      <c r="B34">
        <v>55</v>
      </c>
      <c r="C34">
        <v>564</v>
      </c>
    </row>
    <row r="35" spans="1:3" x14ac:dyDescent="0.3">
      <c r="A35" t="s">
        <v>36</v>
      </c>
      <c r="B35">
        <v>86</v>
      </c>
      <c r="C35">
        <v>409</v>
      </c>
    </row>
    <row r="36" spans="1:3" x14ac:dyDescent="0.3">
      <c r="A36" t="s">
        <v>37</v>
      </c>
      <c r="B36">
        <v>72</v>
      </c>
      <c r="C36">
        <v>403</v>
      </c>
    </row>
    <row r="37" spans="1:3" x14ac:dyDescent="0.3">
      <c r="A37" t="s">
        <v>38</v>
      </c>
      <c r="B37">
        <v>61</v>
      </c>
      <c r="C37">
        <v>327</v>
      </c>
    </row>
    <row r="38" spans="1:3" x14ac:dyDescent="0.3">
      <c r="A38" t="s">
        <v>39</v>
      </c>
      <c r="B38">
        <v>234</v>
      </c>
      <c r="C38">
        <v>555</v>
      </c>
    </row>
    <row r="39" spans="1:3" x14ac:dyDescent="0.3">
      <c r="A39" t="s">
        <v>40</v>
      </c>
      <c r="B39">
        <v>54</v>
      </c>
      <c r="C39">
        <v>252</v>
      </c>
    </row>
    <row r="40" spans="1:3" x14ac:dyDescent="0.3">
      <c r="A40" t="s">
        <v>41</v>
      </c>
      <c r="B40">
        <v>106</v>
      </c>
      <c r="C40">
        <v>219</v>
      </c>
    </row>
    <row r="41" spans="1:3" x14ac:dyDescent="0.3">
      <c r="A41" t="s">
        <v>42</v>
      </c>
      <c r="B41">
        <v>56</v>
      </c>
      <c r="C41">
        <v>412</v>
      </c>
    </row>
    <row r="42" spans="1:3" x14ac:dyDescent="0.3">
      <c r="A42" t="s">
        <v>43</v>
      </c>
      <c r="B42">
        <v>66</v>
      </c>
      <c r="C42">
        <v>267</v>
      </c>
    </row>
    <row r="43" spans="1:3" x14ac:dyDescent="0.3">
      <c r="A43" t="s">
        <v>44</v>
      </c>
      <c r="B43">
        <v>48</v>
      </c>
      <c r="C43">
        <v>306</v>
      </c>
    </row>
    <row r="44" spans="1:3" x14ac:dyDescent="0.3">
      <c r="A44" t="s">
        <v>45</v>
      </c>
      <c r="B44">
        <v>52</v>
      </c>
      <c r="C44">
        <v>385</v>
      </c>
    </row>
    <row r="45" spans="1:3" x14ac:dyDescent="0.3">
      <c r="A45" t="s">
        <v>46</v>
      </c>
      <c r="B45">
        <v>278</v>
      </c>
      <c r="C45">
        <v>889</v>
      </c>
    </row>
    <row r="46" spans="1:3" x14ac:dyDescent="0.3">
      <c r="A46" t="s">
        <v>47</v>
      </c>
      <c r="B46">
        <v>77</v>
      </c>
      <c r="C46">
        <v>767</v>
      </c>
    </row>
    <row r="47" spans="1:3" x14ac:dyDescent="0.3">
      <c r="A47" t="s">
        <v>48</v>
      </c>
      <c r="B47">
        <v>117</v>
      </c>
      <c r="C47">
        <v>766</v>
      </c>
    </row>
    <row r="48" spans="1:3" x14ac:dyDescent="0.3">
      <c r="A48" t="s">
        <v>49</v>
      </c>
      <c r="B48">
        <v>597</v>
      </c>
      <c r="C48">
        <v>2229</v>
      </c>
    </row>
    <row r="49" spans="1:3" x14ac:dyDescent="0.3">
      <c r="A49" t="s">
        <v>50</v>
      </c>
      <c r="B49">
        <v>249</v>
      </c>
      <c r="C49">
        <v>1510</v>
      </c>
    </row>
    <row r="50" spans="1:3" x14ac:dyDescent="0.3">
      <c r="A50" t="s">
        <v>51</v>
      </c>
      <c r="B50">
        <v>166</v>
      </c>
      <c r="C50">
        <v>1461</v>
      </c>
    </row>
    <row r="51" spans="1:3" x14ac:dyDescent="0.3">
      <c r="A51" t="s">
        <v>52</v>
      </c>
      <c r="B51">
        <v>107</v>
      </c>
      <c r="C51">
        <v>1083</v>
      </c>
    </row>
    <row r="52" spans="1:3" x14ac:dyDescent="0.3">
      <c r="A52" t="s">
        <v>53</v>
      </c>
      <c r="B52">
        <v>115</v>
      </c>
      <c r="C52">
        <v>1070</v>
      </c>
    </row>
    <row r="53" spans="1:3" x14ac:dyDescent="0.3">
      <c r="A53" t="s">
        <v>54</v>
      </c>
      <c r="B53">
        <v>150</v>
      </c>
      <c r="C53">
        <v>1919</v>
      </c>
    </row>
    <row r="54" spans="1:3" x14ac:dyDescent="0.3">
      <c r="A54" t="s">
        <v>55</v>
      </c>
      <c r="B54">
        <v>2213</v>
      </c>
      <c r="C54">
        <v>4961</v>
      </c>
    </row>
    <row r="55" spans="1:3" x14ac:dyDescent="0.3">
      <c r="A55" t="s">
        <v>56</v>
      </c>
      <c r="B55">
        <v>592</v>
      </c>
      <c r="C55">
        <v>2507</v>
      </c>
    </row>
    <row r="56" spans="1:3" x14ac:dyDescent="0.3">
      <c r="A56" t="s">
        <v>57</v>
      </c>
      <c r="B56">
        <v>1474</v>
      </c>
      <c r="C56">
        <v>7049</v>
      </c>
    </row>
    <row r="57" spans="1:3" x14ac:dyDescent="0.3">
      <c r="A57" t="s">
        <v>58</v>
      </c>
      <c r="B57">
        <v>496</v>
      </c>
      <c r="C57">
        <v>4873</v>
      </c>
    </row>
    <row r="58" spans="1:3" x14ac:dyDescent="0.3">
      <c r="A58" t="s">
        <v>59</v>
      </c>
      <c r="B58">
        <v>2362</v>
      </c>
      <c r="C58">
        <v>15936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10</v>
      </c>
      <c r="C2">
        <v>66</v>
      </c>
    </row>
    <row r="3" spans="1:3" x14ac:dyDescent="0.3">
      <c r="A3" t="s">
        <v>4</v>
      </c>
      <c r="B3">
        <v>11</v>
      </c>
      <c r="C3">
        <v>73</v>
      </c>
    </row>
    <row r="4" spans="1:3" x14ac:dyDescent="0.3">
      <c r="A4" t="s">
        <v>5</v>
      </c>
      <c r="B4">
        <v>17</v>
      </c>
      <c r="C4">
        <v>52</v>
      </c>
    </row>
    <row r="5" spans="1:3" x14ac:dyDescent="0.3">
      <c r="A5" t="s">
        <v>6</v>
      </c>
      <c r="B5">
        <v>13</v>
      </c>
      <c r="C5">
        <v>72</v>
      </c>
    </row>
    <row r="6" spans="1:3" x14ac:dyDescent="0.3">
      <c r="A6" t="s">
        <v>7</v>
      </c>
      <c r="B6">
        <v>24</v>
      </c>
      <c r="C6">
        <v>77</v>
      </c>
    </row>
    <row r="7" spans="1:3" x14ac:dyDescent="0.3">
      <c r="A7" t="s">
        <v>8</v>
      </c>
      <c r="B7">
        <v>10</v>
      </c>
      <c r="C7">
        <v>79</v>
      </c>
    </row>
    <row r="8" spans="1:3" x14ac:dyDescent="0.3">
      <c r="A8" t="s">
        <v>9</v>
      </c>
      <c r="B8">
        <v>25</v>
      </c>
      <c r="C8">
        <v>103</v>
      </c>
    </row>
    <row r="9" spans="1:3" x14ac:dyDescent="0.3">
      <c r="A9" t="s">
        <v>10</v>
      </c>
      <c r="B9">
        <v>32</v>
      </c>
      <c r="C9">
        <v>123</v>
      </c>
    </row>
    <row r="10" spans="1:3" x14ac:dyDescent="0.3">
      <c r="A10" t="s">
        <v>11</v>
      </c>
      <c r="B10">
        <v>59</v>
      </c>
      <c r="C10">
        <v>144</v>
      </c>
    </row>
    <row r="11" spans="1:3" x14ac:dyDescent="0.3">
      <c r="A11" t="s">
        <v>12</v>
      </c>
      <c r="B11">
        <v>56</v>
      </c>
      <c r="C11">
        <v>111</v>
      </c>
    </row>
    <row r="12" spans="1:3" x14ac:dyDescent="0.3">
      <c r="A12" t="s">
        <v>13</v>
      </c>
      <c r="B12">
        <v>40</v>
      </c>
      <c r="C12">
        <v>181</v>
      </c>
    </row>
    <row r="13" spans="1:3" x14ac:dyDescent="0.3">
      <c r="A13" t="s">
        <v>14</v>
      </c>
      <c r="B13">
        <v>31</v>
      </c>
      <c r="C13">
        <v>94</v>
      </c>
    </row>
    <row r="14" spans="1:3" x14ac:dyDescent="0.3">
      <c r="A14" t="s">
        <v>15</v>
      </c>
      <c r="B14">
        <v>11</v>
      </c>
      <c r="C14">
        <v>87</v>
      </c>
    </row>
    <row r="15" spans="1:3" x14ac:dyDescent="0.3">
      <c r="A15" t="s">
        <v>16</v>
      </c>
      <c r="B15">
        <v>14</v>
      </c>
      <c r="C15">
        <v>82</v>
      </c>
    </row>
    <row r="16" spans="1:3" x14ac:dyDescent="0.3">
      <c r="A16" t="s">
        <v>17</v>
      </c>
      <c r="B16">
        <v>12</v>
      </c>
      <c r="C16">
        <v>75</v>
      </c>
    </row>
    <row r="17" spans="1:3" x14ac:dyDescent="0.3">
      <c r="A17" t="s">
        <v>18</v>
      </c>
      <c r="B17">
        <v>9</v>
      </c>
      <c r="C17">
        <v>186</v>
      </c>
    </row>
    <row r="18" spans="1:3" x14ac:dyDescent="0.3">
      <c r="A18" t="s">
        <v>19</v>
      </c>
      <c r="B18">
        <v>18</v>
      </c>
      <c r="C18">
        <v>77</v>
      </c>
    </row>
    <row r="19" spans="1:3" x14ac:dyDescent="0.3">
      <c r="A19" t="s">
        <v>20</v>
      </c>
      <c r="B19">
        <v>17</v>
      </c>
      <c r="C19">
        <v>74</v>
      </c>
    </row>
    <row r="20" spans="1:3" x14ac:dyDescent="0.3">
      <c r="A20" t="s">
        <v>21</v>
      </c>
      <c r="B20">
        <v>17</v>
      </c>
      <c r="C20">
        <v>59</v>
      </c>
    </row>
    <row r="21" spans="1:3" x14ac:dyDescent="0.3">
      <c r="A21" t="s">
        <v>22</v>
      </c>
      <c r="B21">
        <v>26</v>
      </c>
      <c r="C21">
        <v>88</v>
      </c>
    </row>
    <row r="22" spans="1:3" x14ac:dyDescent="0.3">
      <c r="A22" t="s">
        <v>23</v>
      </c>
      <c r="B22">
        <v>11</v>
      </c>
      <c r="C22">
        <v>73</v>
      </c>
    </row>
    <row r="23" spans="1:3" x14ac:dyDescent="0.3">
      <c r="A23" t="s">
        <v>24</v>
      </c>
      <c r="B23">
        <v>28</v>
      </c>
      <c r="C23">
        <v>66</v>
      </c>
    </row>
    <row r="24" spans="1:3" x14ac:dyDescent="0.3">
      <c r="A24" t="s">
        <v>25</v>
      </c>
      <c r="B24">
        <v>10</v>
      </c>
      <c r="C24">
        <v>77</v>
      </c>
    </row>
    <row r="25" spans="1:3" x14ac:dyDescent="0.3">
      <c r="A25" t="s">
        <v>26</v>
      </c>
      <c r="B25">
        <v>24</v>
      </c>
      <c r="C25">
        <v>135</v>
      </c>
    </row>
    <row r="26" spans="1:3" x14ac:dyDescent="0.3">
      <c r="A26" t="s">
        <v>27</v>
      </c>
      <c r="B26">
        <v>21</v>
      </c>
      <c r="C26">
        <v>165</v>
      </c>
    </row>
    <row r="27" spans="1:3" x14ac:dyDescent="0.3">
      <c r="A27" t="s">
        <v>28</v>
      </c>
      <c r="B27">
        <v>19</v>
      </c>
      <c r="C27">
        <v>130</v>
      </c>
    </row>
    <row r="28" spans="1:3" x14ac:dyDescent="0.3">
      <c r="A28" t="s">
        <v>29</v>
      </c>
      <c r="B28">
        <v>30</v>
      </c>
      <c r="C28">
        <v>184</v>
      </c>
    </row>
    <row r="29" spans="1:3" x14ac:dyDescent="0.3">
      <c r="A29" t="s">
        <v>30</v>
      </c>
      <c r="B29">
        <v>35</v>
      </c>
      <c r="C29">
        <v>208</v>
      </c>
    </row>
    <row r="30" spans="1:3" x14ac:dyDescent="0.3">
      <c r="A30" t="s">
        <v>31</v>
      </c>
      <c r="B30">
        <v>21</v>
      </c>
      <c r="C30">
        <v>209</v>
      </c>
    </row>
    <row r="31" spans="1:3" x14ac:dyDescent="0.3">
      <c r="A31" t="s">
        <v>32</v>
      </c>
      <c r="B31">
        <v>30</v>
      </c>
      <c r="C31">
        <v>168</v>
      </c>
    </row>
    <row r="32" spans="1:3" x14ac:dyDescent="0.3">
      <c r="A32" t="s">
        <v>33</v>
      </c>
      <c r="B32">
        <v>23</v>
      </c>
      <c r="C32">
        <v>223</v>
      </c>
    </row>
    <row r="33" spans="1:3" x14ac:dyDescent="0.3">
      <c r="A33" t="s">
        <v>34</v>
      </c>
      <c r="B33">
        <v>23</v>
      </c>
      <c r="C33">
        <v>144</v>
      </c>
    </row>
    <row r="34" spans="1:3" x14ac:dyDescent="0.3">
      <c r="A34" t="s">
        <v>35</v>
      </c>
      <c r="B34">
        <v>26</v>
      </c>
      <c r="C34">
        <v>256</v>
      </c>
    </row>
    <row r="35" spans="1:3" x14ac:dyDescent="0.3">
      <c r="A35" t="s">
        <v>36</v>
      </c>
      <c r="B35">
        <v>39</v>
      </c>
      <c r="C35">
        <v>190</v>
      </c>
    </row>
    <row r="36" spans="1:3" x14ac:dyDescent="0.3">
      <c r="A36" t="s">
        <v>37</v>
      </c>
      <c r="B36">
        <v>32</v>
      </c>
      <c r="C36">
        <v>183</v>
      </c>
    </row>
    <row r="37" spans="1:3" x14ac:dyDescent="0.3">
      <c r="A37" t="s">
        <v>38</v>
      </c>
      <c r="B37">
        <v>33</v>
      </c>
      <c r="C37">
        <v>145</v>
      </c>
    </row>
    <row r="38" spans="1:3" x14ac:dyDescent="0.3">
      <c r="A38" t="s">
        <v>39</v>
      </c>
      <c r="B38">
        <v>150</v>
      </c>
      <c r="C38">
        <v>277</v>
      </c>
    </row>
    <row r="39" spans="1:3" x14ac:dyDescent="0.3">
      <c r="A39" t="s">
        <v>40</v>
      </c>
      <c r="B39">
        <v>26</v>
      </c>
      <c r="C39">
        <v>105</v>
      </c>
    </row>
    <row r="40" spans="1:3" x14ac:dyDescent="0.3">
      <c r="A40" t="s">
        <v>41</v>
      </c>
      <c r="B40">
        <v>37</v>
      </c>
      <c r="C40">
        <v>95</v>
      </c>
    </row>
    <row r="41" spans="1:3" x14ac:dyDescent="0.3">
      <c r="A41" t="s">
        <v>42</v>
      </c>
      <c r="B41">
        <v>30</v>
      </c>
      <c r="C41">
        <v>202</v>
      </c>
    </row>
    <row r="42" spans="1:3" x14ac:dyDescent="0.3">
      <c r="A42" t="s">
        <v>43</v>
      </c>
      <c r="B42">
        <v>32</v>
      </c>
      <c r="C42">
        <v>113</v>
      </c>
    </row>
    <row r="43" spans="1:3" x14ac:dyDescent="0.3">
      <c r="A43" t="s">
        <v>44</v>
      </c>
      <c r="B43">
        <v>26</v>
      </c>
      <c r="C43">
        <v>159</v>
      </c>
    </row>
    <row r="44" spans="1:3" x14ac:dyDescent="0.3">
      <c r="A44" t="s">
        <v>45</v>
      </c>
      <c r="B44">
        <v>25</v>
      </c>
      <c r="C44">
        <v>179</v>
      </c>
    </row>
    <row r="45" spans="1:3" x14ac:dyDescent="0.3">
      <c r="A45" t="s">
        <v>46</v>
      </c>
      <c r="B45">
        <v>154</v>
      </c>
      <c r="C45">
        <v>438</v>
      </c>
    </row>
    <row r="46" spans="1:3" x14ac:dyDescent="0.3">
      <c r="A46" t="s">
        <v>47</v>
      </c>
      <c r="B46">
        <v>41</v>
      </c>
      <c r="C46">
        <v>379</v>
      </c>
    </row>
    <row r="47" spans="1:3" x14ac:dyDescent="0.3">
      <c r="A47" t="s">
        <v>48</v>
      </c>
      <c r="B47">
        <v>73</v>
      </c>
      <c r="C47">
        <v>390</v>
      </c>
    </row>
    <row r="48" spans="1:3" x14ac:dyDescent="0.3">
      <c r="A48" t="s">
        <v>49</v>
      </c>
      <c r="B48">
        <v>320</v>
      </c>
      <c r="C48">
        <v>1109</v>
      </c>
    </row>
    <row r="49" spans="1:3" x14ac:dyDescent="0.3">
      <c r="A49" t="s">
        <v>50</v>
      </c>
      <c r="B49">
        <v>109</v>
      </c>
      <c r="C49">
        <v>671</v>
      </c>
    </row>
    <row r="50" spans="1:3" x14ac:dyDescent="0.3">
      <c r="A50" t="s">
        <v>51</v>
      </c>
      <c r="B50">
        <v>82</v>
      </c>
      <c r="C50">
        <v>657</v>
      </c>
    </row>
    <row r="51" spans="1:3" x14ac:dyDescent="0.3">
      <c r="A51" t="s">
        <v>52</v>
      </c>
      <c r="B51">
        <v>51</v>
      </c>
      <c r="C51">
        <v>499</v>
      </c>
    </row>
    <row r="52" spans="1:3" x14ac:dyDescent="0.3">
      <c r="A52" t="s">
        <v>53</v>
      </c>
      <c r="B52">
        <v>65</v>
      </c>
      <c r="C52">
        <v>514</v>
      </c>
    </row>
    <row r="53" spans="1:3" x14ac:dyDescent="0.3">
      <c r="A53" t="s">
        <v>54</v>
      </c>
      <c r="B53">
        <v>79</v>
      </c>
      <c r="C53">
        <v>876</v>
      </c>
    </row>
    <row r="54" spans="1:3" x14ac:dyDescent="0.3">
      <c r="A54" t="s">
        <v>55</v>
      </c>
      <c r="B54">
        <v>1269</v>
      </c>
      <c r="C54">
        <v>2579</v>
      </c>
    </row>
    <row r="55" spans="1:3" x14ac:dyDescent="0.3">
      <c r="A55" t="s">
        <v>56</v>
      </c>
      <c r="B55">
        <v>254</v>
      </c>
      <c r="C55">
        <v>1087</v>
      </c>
    </row>
    <row r="56" spans="1:3" x14ac:dyDescent="0.3">
      <c r="A56" t="s">
        <v>57</v>
      </c>
      <c r="B56">
        <v>710</v>
      </c>
      <c r="C56">
        <v>3177</v>
      </c>
    </row>
    <row r="57" spans="1:3" x14ac:dyDescent="0.3">
      <c r="A57" t="s">
        <v>58</v>
      </c>
      <c r="B57">
        <v>220</v>
      </c>
      <c r="C57">
        <v>2107</v>
      </c>
    </row>
    <row r="58" spans="1:3" x14ac:dyDescent="0.3">
      <c r="A58" t="s">
        <v>59</v>
      </c>
      <c r="B58">
        <v>1020</v>
      </c>
      <c r="C58">
        <v>6843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32</v>
      </c>
    </row>
    <row r="3" spans="1:3" x14ac:dyDescent="0.3">
      <c r="A3" t="s">
        <v>4</v>
      </c>
      <c r="B3">
        <v>9</v>
      </c>
      <c r="C3">
        <v>39</v>
      </c>
    </row>
    <row r="4" spans="1:3" x14ac:dyDescent="0.3">
      <c r="A4" t="s">
        <v>5</v>
      </c>
      <c r="B4">
        <v>9</v>
      </c>
      <c r="C4">
        <v>30</v>
      </c>
    </row>
    <row r="5" spans="1:3" x14ac:dyDescent="0.3">
      <c r="A5" t="s">
        <v>6</v>
      </c>
      <c r="B5">
        <v>13</v>
      </c>
      <c r="C5">
        <v>48</v>
      </c>
    </row>
    <row r="6" spans="1:3" x14ac:dyDescent="0.3">
      <c r="A6" t="s">
        <v>7</v>
      </c>
      <c r="B6">
        <v>10</v>
      </c>
      <c r="C6">
        <v>39</v>
      </c>
    </row>
    <row r="7" spans="1:3" x14ac:dyDescent="0.3">
      <c r="A7" t="s">
        <v>8</v>
      </c>
      <c r="B7">
        <v>4</v>
      </c>
      <c r="C7">
        <v>38</v>
      </c>
    </row>
    <row r="8" spans="1:3" x14ac:dyDescent="0.3">
      <c r="A8" t="s">
        <v>9</v>
      </c>
      <c r="B8">
        <v>14</v>
      </c>
      <c r="C8">
        <v>59</v>
      </c>
    </row>
    <row r="9" spans="1:3" x14ac:dyDescent="0.3">
      <c r="A9" t="s">
        <v>10</v>
      </c>
      <c r="B9">
        <v>22</v>
      </c>
      <c r="C9">
        <v>64</v>
      </c>
    </row>
    <row r="10" spans="1:3" x14ac:dyDescent="0.3">
      <c r="A10" t="s">
        <v>11</v>
      </c>
      <c r="B10">
        <v>45</v>
      </c>
      <c r="C10">
        <v>80</v>
      </c>
    </row>
    <row r="11" spans="1:3" x14ac:dyDescent="0.3">
      <c r="A11" t="s">
        <v>12</v>
      </c>
      <c r="B11">
        <v>26</v>
      </c>
      <c r="C11">
        <v>67</v>
      </c>
    </row>
    <row r="12" spans="1:3" x14ac:dyDescent="0.3">
      <c r="A12" t="s">
        <v>13</v>
      </c>
      <c r="B12">
        <v>19</v>
      </c>
      <c r="C12">
        <v>101</v>
      </c>
    </row>
    <row r="13" spans="1:3" x14ac:dyDescent="0.3">
      <c r="A13" t="s">
        <v>14</v>
      </c>
      <c r="B13">
        <v>11</v>
      </c>
      <c r="C13">
        <v>52</v>
      </c>
    </row>
    <row r="14" spans="1:3" x14ac:dyDescent="0.3">
      <c r="A14" t="s">
        <v>15</v>
      </c>
      <c r="B14">
        <v>9</v>
      </c>
      <c r="C14">
        <v>55</v>
      </c>
    </row>
    <row r="15" spans="1:3" x14ac:dyDescent="0.3">
      <c r="A15" t="s">
        <v>16</v>
      </c>
      <c r="B15">
        <v>10</v>
      </c>
      <c r="C15">
        <v>48</v>
      </c>
    </row>
    <row r="16" spans="1:3" x14ac:dyDescent="0.3">
      <c r="A16" t="s">
        <v>17</v>
      </c>
      <c r="B16">
        <v>10</v>
      </c>
      <c r="C16">
        <v>56</v>
      </c>
    </row>
    <row r="17" spans="1:3" x14ac:dyDescent="0.3">
      <c r="A17" t="s">
        <v>18</v>
      </c>
      <c r="B17">
        <v>7</v>
      </c>
      <c r="C17">
        <v>116</v>
      </c>
    </row>
    <row r="18" spans="1:3" x14ac:dyDescent="0.3">
      <c r="A18" t="s">
        <v>19</v>
      </c>
      <c r="B18">
        <v>11</v>
      </c>
      <c r="C18">
        <v>39</v>
      </c>
    </row>
    <row r="19" spans="1:3" x14ac:dyDescent="0.3">
      <c r="A19" t="s">
        <v>20</v>
      </c>
      <c r="B19">
        <v>7</v>
      </c>
      <c r="C19">
        <v>46</v>
      </c>
    </row>
    <row r="20" spans="1:3" x14ac:dyDescent="0.3">
      <c r="A20" t="s">
        <v>21</v>
      </c>
      <c r="B20">
        <v>11</v>
      </c>
      <c r="C20">
        <v>33</v>
      </c>
    </row>
    <row r="21" spans="1:3" x14ac:dyDescent="0.3">
      <c r="A21" t="s">
        <v>22</v>
      </c>
      <c r="B21">
        <v>12</v>
      </c>
      <c r="C21">
        <v>47</v>
      </c>
    </row>
    <row r="22" spans="1:3" x14ac:dyDescent="0.3">
      <c r="A22" t="s">
        <v>23</v>
      </c>
      <c r="B22">
        <v>9</v>
      </c>
      <c r="C22">
        <v>41</v>
      </c>
    </row>
    <row r="23" spans="1:3" x14ac:dyDescent="0.3">
      <c r="A23" t="s">
        <v>24</v>
      </c>
      <c r="B23">
        <v>16</v>
      </c>
      <c r="C23">
        <v>36</v>
      </c>
    </row>
    <row r="24" spans="1:3" x14ac:dyDescent="0.3">
      <c r="A24" t="s">
        <v>25</v>
      </c>
      <c r="B24">
        <v>8</v>
      </c>
      <c r="C24">
        <v>48</v>
      </c>
    </row>
    <row r="25" spans="1:3" x14ac:dyDescent="0.3">
      <c r="A25" t="s">
        <v>26</v>
      </c>
      <c r="B25">
        <v>10</v>
      </c>
      <c r="C25">
        <v>91</v>
      </c>
    </row>
    <row r="26" spans="1:3" x14ac:dyDescent="0.3">
      <c r="A26" t="s">
        <v>27</v>
      </c>
      <c r="B26">
        <v>17</v>
      </c>
      <c r="C26">
        <v>99</v>
      </c>
    </row>
    <row r="27" spans="1:3" x14ac:dyDescent="0.3">
      <c r="A27" t="s">
        <v>28</v>
      </c>
      <c r="B27">
        <v>11</v>
      </c>
      <c r="C27">
        <v>76</v>
      </c>
    </row>
    <row r="28" spans="1:3" x14ac:dyDescent="0.3">
      <c r="A28" t="s">
        <v>29</v>
      </c>
      <c r="B28">
        <v>20</v>
      </c>
      <c r="C28">
        <v>110</v>
      </c>
    </row>
    <row r="29" spans="1:3" x14ac:dyDescent="0.3">
      <c r="A29" t="s">
        <v>30</v>
      </c>
      <c r="B29">
        <v>18</v>
      </c>
      <c r="C29">
        <v>123</v>
      </c>
    </row>
    <row r="30" spans="1:3" x14ac:dyDescent="0.3">
      <c r="A30" t="s">
        <v>31</v>
      </c>
      <c r="B30">
        <v>13</v>
      </c>
      <c r="C30">
        <v>116</v>
      </c>
    </row>
    <row r="31" spans="1:3" x14ac:dyDescent="0.3">
      <c r="A31" t="s">
        <v>32</v>
      </c>
      <c r="B31">
        <v>16</v>
      </c>
      <c r="C31">
        <v>80</v>
      </c>
    </row>
    <row r="32" spans="1:3" x14ac:dyDescent="0.3">
      <c r="A32" t="s">
        <v>33</v>
      </c>
      <c r="B32">
        <v>11</v>
      </c>
      <c r="C32">
        <v>119</v>
      </c>
    </row>
    <row r="33" spans="1:3" x14ac:dyDescent="0.3">
      <c r="A33" t="s">
        <v>34</v>
      </c>
      <c r="B33">
        <v>11</v>
      </c>
      <c r="C33">
        <v>80</v>
      </c>
    </row>
    <row r="34" spans="1:3" x14ac:dyDescent="0.3">
      <c r="A34" t="s">
        <v>35</v>
      </c>
      <c r="B34">
        <v>16</v>
      </c>
      <c r="C34">
        <v>132</v>
      </c>
    </row>
    <row r="35" spans="1:3" x14ac:dyDescent="0.3">
      <c r="A35" t="s">
        <v>36</v>
      </c>
      <c r="B35">
        <v>18</v>
      </c>
      <c r="C35">
        <v>101</v>
      </c>
    </row>
    <row r="36" spans="1:3" x14ac:dyDescent="0.3">
      <c r="A36" t="s">
        <v>37</v>
      </c>
      <c r="B36">
        <v>16</v>
      </c>
      <c r="C36">
        <v>109</v>
      </c>
    </row>
    <row r="37" spans="1:3" x14ac:dyDescent="0.3">
      <c r="A37" t="s">
        <v>38</v>
      </c>
      <c r="B37">
        <v>13</v>
      </c>
      <c r="C37">
        <v>69</v>
      </c>
    </row>
    <row r="38" spans="1:3" x14ac:dyDescent="0.3">
      <c r="A38" t="s">
        <v>39</v>
      </c>
      <c r="B38">
        <v>96</v>
      </c>
      <c r="C38">
        <v>167</v>
      </c>
    </row>
    <row r="39" spans="1:3" x14ac:dyDescent="0.3">
      <c r="A39" t="s">
        <v>40</v>
      </c>
      <c r="B39">
        <v>15</v>
      </c>
      <c r="C39">
        <v>63</v>
      </c>
    </row>
    <row r="40" spans="1:3" x14ac:dyDescent="0.3">
      <c r="A40" t="s">
        <v>41</v>
      </c>
      <c r="B40">
        <v>25</v>
      </c>
      <c r="C40">
        <v>58</v>
      </c>
    </row>
    <row r="41" spans="1:3" x14ac:dyDescent="0.3">
      <c r="A41" t="s">
        <v>42</v>
      </c>
      <c r="B41">
        <v>16</v>
      </c>
      <c r="C41">
        <v>133</v>
      </c>
    </row>
    <row r="42" spans="1:3" x14ac:dyDescent="0.3">
      <c r="A42" t="s">
        <v>43</v>
      </c>
      <c r="B42">
        <v>12</v>
      </c>
      <c r="C42">
        <v>61</v>
      </c>
    </row>
    <row r="43" spans="1:3" x14ac:dyDescent="0.3">
      <c r="A43" t="s">
        <v>44</v>
      </c>
      <c r="B43">
        <v>16</v>
      </c>
      <c r="C43">
        <v>87</v>
      </c>
    </row>
    <row r="44" spans="1:3" x14ac:dyDescent="0.3">
      <c r="A44" t="s">
        <v>45</v>
      </c>
      <c r="B44">
        <v>15</v>
      </c>
      <c r="C44">
        <v>100</v>
      </c>
    </row>
    <row r="45" spans="1:3" x14ac:dyDescent="0.3">
      <c r="A45" t="s">
        <v>46</v>
      </c>
      <c r="B45">
        <v>126</v>
      </c>
      <c r="C45">
        <v>273</v>
      </c>
    </row>
    <row r="46" spans="1:3" x14ac:dyDescent="0.3">
      <c r="A46" t="s">
        <v>47</v>
      </c>
      <c r="B46">
        <v>25</v>
      </c>
      <c r="C46">
        <v>225</v>
      </c>
    </row>
    <row r="47" spans="1:3" x14ac:dyDescent="0.3">
      <c r="A47" t="s">
        <v>48</v>
      </c>
      <c r="B47">
        <v>57</v>
      </c>
      <c r="C47">
        <v>244</v>
      </c>
    </row>
    <row r="48" spans="1:3" x14ac:dyDescent="0.3">
      <c r="A48" t="s">
        <v>49</v>
      </c>
      <c r="B48">
        <v>244</v>
      </c>
      <c r="C48">
        <v>667</v>
      </c>
    </row>
    <row r="49" spans="1:3" x14ac:dyDescent="0.3">
      <c r="A49" t="s">
        <v>50</v>
      </c>
      <c r="B49">
        <v>65</v>
      </c>
      <c r="C49">
        <v>375</v>
      </c>
    </row>
    <row r="50" spans="1:3" x14ac:dyDescent="0.3">
      <c r="A50" t="s">
        <v>51</v>
      </c>
      <c r="B50">
        <v>60</v>
      </c>
      <c r="C50">
        <v>397</v>
      </c>
    </row>
    <row r="51" spans="1:3" x14ac:dyDescent="0.3">
      <c r="A51" t="s">
        <v>52</v>
      </c>
      <c r="B51">
        <v>21</v>
      </c>
      <c r="C51">
        <v>265</v>
      </c>
    </row>
    <row r="52" spans="1:3" x14ac:dyDescent="0.3">
      <c r="A52" t="s">
        <v>53</v>
      </c>
      <c r="B52">
        <v>35</v>
      </c>
      <c r="C52">
        <v>299</v>
      </c>
    </row>
    <row r="53" spans="1:3" x14ac:dyDescent="0.3">
      <c r="A53" t="s">
        <v>54</v>
      </c>
      <c r="B53">
        <v>37</v>
      </c>
      <c r="C53">
        <v>508</v>
      </c>
    </row>
    <row r="54" spans="1:3" x14ac:dyDescent="0.3">
      <c r="A54" t="s">
        <v>55</v>
      </c>
      <c r="B54">
        <v>853</v>
      </c>
      <c r="C54">
        <v>1633</v>
      </c>
    </row>
    <row r="55" spans="1:3" x14ac:dyDescent="0.3">
      <c r="A55" t="s">
        <v>56</v>
      </c>
      <c r="B55">
        <v>144</v>
      </c>
      <c r="C55">
        <v>600</v>
      </c>
    </row>
    <row r="56" spans="1:3" x14ac:dyDescent="0.3">
      <c r="A56" t="s">
        <v>57</v>
      </c>
      <c r="B56">
        <v>413</v>
      </c>
      <c r="C56">
        <v>1822</v>
      </c>
    </row>
    <row r="57" spans="1:3" x14ac:dyDescent="0.3">
      <c r="A57" t="s">
        <v>58</v>
      </c>
      <c r="B57">
        <v>140</v>
      </c>
      <c r="C57">
        <v>1193</v>
      </c>
    </row>
    <row r="58" spans="1:3" x14ac:dyDescent="0.3">
      <c r="A58" t="s">
        <v>59</v>
      </c>
      <c r="B58">
        <v>512</v>
      </c>
      <c r="C58">
        <v>3543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24</v>
      </c>
    </row>
    <row r="3" spans="1:3" x14ac:dyDescent="0.3">
      <c r="A3" t="s">
        <v>4</v>
      </c>
      <c r="B3">
        <v>7</v>
      </c>
      <c r="C3">
        <v>27</v>
      </c>
    </row>
    <row r="4" spans="1:3" x14ac:dyDescent="0.3">
      <c r="A4" t="s">
        <v>5</v>
      </c>
      <c r="B4">
        <v>8</v>
      </c>
      <c r="C4">
        <v>22</v>
      </c>
    </row>
    <row r="5" spans="1:3" x14ac:dyDescent="0.3">
      <c r="A5" t="s">
        <v>6</v>
      </c>
      <c r="B5">
        <v>5</v>
      </c>
      <c r="C5">
        <v>28</v>
      </c>
    </row>
    <row r="6" spans="1:3" x14ac:dyDescent="0.3">
      <c r="A6" t="s">
        <v>7</v>
      </c>
      <c r="B6">
        <v>8</v>
      </c>
      <c r="C6">
        <v>25</v>
      </c>
    </row>
    <row r="7" spans="1:3" x14ac:dyDescent="0.3">
      <c r="A7" t="s">
        <v>8</v>
      </c>
      <c r="B7">
        <v>4</v>
      </c>
      <c r="C7">
        <v>26</v>
      </c>
    </row>
    <row r="8" spans="1:3" x14ac:dyDescent="0.3">
      <c r="A8" t="s">
        <v>9</v>
      </c>
      <c r="B8">
        <v>8</v>
      </c>
      <c r="C8">
        <v>29</v>
      </c>
    </row>
    <row r="9" spans="1:3" x14ac:dyDescent="0.3">
      <c r="A9" t="s">
        <v>10</v>
      </c>
      <c r="B9">
        <v>14</v>
      </c>
      <c r="C9">
        <v>40</v>
      </c>
    </row>
    <row r="10" spans="1:3" x14ac:dyDescent="0.3">
      <c r="A10" t="s">
        <v>11</v>
      </c>
      <c r="B10">
        <v>33</v>
      </c>
      <c r="C10">
        <v>62</v>
      </c>
    </row>
    <row r="11" spans="1:3" x14ac:dyDescent="0.3">
      <c r="A11" t="s">
        <v>12</v>
      </c>
      <c r="B11">
        <v>18</v>
      </c>
      <c r="C11">
        <v>41</v>
      </c>
    </row>
    <row r="12" spans="1:3" x14ac:dyDescent="0.3">
      <c r="A12" t="s">
        <v>13</v>
      </c>
      <c r="B12">
        <v>11</v>
      </c>
      <c r="C12">
        <v>73</v>
      </c>
    </row>
    <row r="13" spans="1:3" x14ac:dyDescent="0.3">
      <c r="A13" t="s">
        <v>14</v>
      </c>
      <c r="B13">
        <v>11</v>
      </c>
      <c r="C13">
        <v>32</v>
      </c>
    </row>
    <row r="14" spans="1:3" x14ac:dyDescent="0.3">
      <c r="A14" t="s">
        <v>15</v>
      </c>
      <c r="B14">
        <v>5</v>
      </c>
      <c r="C14">
        <v>33</v>
      </c>
    </row>
    <row r="15" spans="1:3" x14ac:dyDescent="0.3">
      <c r="A15" t="s">
        <v>16</v>
      </c>
      <c r="B15">
        <v>4</v>
      </c>
      <c r="C15">
        <v>28</v>
      </c>
    </row>
    <row r="16" spans="1:3" x14ac:dyDescent="0.3">
      <c r="A16" t="s">
        <v>17</v>
      </c>
      <c r="B16">
        <v>10</v>
      </c>
      <c r="C16">
        <v>38</v>
      </c>
    </row>
    <row r="17" spans="1:3" x14ac:dyDescent="0.3">
      <c r="A17" t="s">
        <v>18</v>
      </c>
      <c r="B17">
        <v>5</v>
      </c>
      <c r="C17">
        <v>80</v>
      </c>
    </row>
    <row r="18" spans="1:3" x14ac:dyDescent="0.3">
      <c r="A18" t="s">
        <v>19</v>
      </c>
      <c r="B18">
        <v>5</v>
      </c>
      <c r="C18">
        <v>27</v>
      </c>
    </row>
    <row r="19" spans="1:3" x14ac:dyDescent="0.3">
      <c r="A19" t="s">
        <v>20</v>
      </c>
      <c r="B19">
        <v>5</v>
      </c>
      <c r="C19">
        <v>30</v>
      </c>
    </row>
    <row r="20" spans="1:3" x14ac:dyDescent="0.3">
      <c r="A20" t="s">
        <v>21</v>
      </c>
      <c r="B20">
        <v>7</v>
      </c>
      <c r="C20">
        <v>21</v>
      </c>
    </row>
    <row r="21" spans="1:3" x14ac:dyDescent="0.3">
      <c r="A21" t="s">
        <v>22</v>
      </c>
      <c r="B21">
        <v>6</v>
      </c>
      <c r="C21">
        <v>25</v>
      </c>
    </row>
    <row r="22" spans="1:3" x14ac:dyDescent="0.3">
      <c r="A22" t="s">
        <v>23</v>
      </c>
      <c r="B22">
        <v>7</v>
      </c>
      <c r="C22">
        <v>35</v>
      </c>
    </row>
    <row r="23" spans="1:3" x14ac:dyDescent="0.3">
      <c r="A23" t="s">
        <v>24</v>
      </c>
      <c r="B23">
        <v>6</v>
      </c>
      <c r="C23">
        <v>22</v>
      </c>
    </row>
    <row r="24" spans="1:3" x14ac:dyDescent="0.3">
      <c r="A24" t="s">
        <v>25</v>
      </c>
      <c r="B24">
        <v>6</v>
      </c>
      <c r="C24">
        <v>28</v>
      </c>
    </row>
    <row r="25" spans="1:3" x14ac:dyDescent="0.3">
      <c r="A25" t="s">
        <v>26</v>
      </c>
      <c r="B25">
        <v>10</v>
      </c>
      <c r="C25">
        <v>71</v>
      </c>
    </row>
    <row r="26" spans="1:3" x14ac:dyDescent="0.3">
      <c r="A26" t="s">
        <v>27</v>
      </c>
      <c r="B26">
        <v>7</v>
      </c>
      <c r="C26">
        <v>61</v>
      </c>
    </row>
    <row r="27" spans="1:3" x14ac:dyDescent="0.3">
      <c r="A27" t="s">
        <v>28</v>
      </c>
      <c r="B27">
        <v>8</v>
      </c>
      <c r="C27">
        <v>49</v>
      </c>
    </row>
    <row r="28" spans="1:3" x14ac:dyDescent="0.3">
      <c r="A28" t="s">
        <v>29</v>
      </c>
      <c r="B28">
        <v>8</v>
      </c>
      <c r="C28">
        <v>68</v>
      </c>
    </row>
    <row r="29" spans="1:3" x14ac:dyDescent="0.3">
      <c r="A29" t="s">
        <v>30</v>
      </c>
      <c r="B29">
        <v>13</v>
      </c>
      <c r="C29">
        <v>80</v>
      </c>
    </row>
    <row r="30" spans="1:3" x14ac:dyDescent="0.3">
      <c r="A30" t="s">
        <v>31</v>
      </c>
      <c r="B30">
        <v>10</v>
      </c>
      <c r="C30">
        <v>77</v>
      </c>
    </row>
    <row r="31" spans="1:3" x14ac:dyDescent="0.3">
      <c r="A31" t="s">
        <v>32</v>
      </c>
      <c r="B31">
        <v>12</v>
      </c>
      <c r="C31">
        <v>58</v>
      </c>
    </row>
    <row r="32" spans="1:3" x14ac:dyDescent="0.3">
      <c r="A32" t="s">
        <v>33</v>
      </c>
      <c r="B32">
        <v>7</v>
      </c>
      <c r="C32">
        <v>72</v>
      </c>
    </row>
    <row r="33" spans="1:3" x14ac:dyDescent="0.3">
      <c r="A33" t="s">
        <v>34</v>
      </c>
      <c r="B33">
        <v>11</v>
      </c>
      <c r="C33">
        <v>60</v>
      </c>
    </row>
    <row r="34" spans="1:3" x14ac:dyDescent="0.3">
      <c r="A34" t="s">
        <v>35</v>
      </c>
      <c r="B34">
        <v>9</v>
      </c>
      <c r="C34">
        <v>93</v>
      </c>
    </row>
    <row r="35" spans="1:3" x14ac:dyDescent="0.3">
      <c r="A35" t="s">
        <v>36</v>
      </c>
      <c r="B35">
        <v>12</v>
      </c>
      <c r="C35">
        <v>61</v>
      </c>
    </row>
    <row r="36" spans="1:3" x14ac:dyDescent="0.3">
      <c r="A36" t="s">
        <v>37</v>
      </c>
      <c r="B36">
        <v>11</v>
      </c>
      <c r="C36">
        <v>66</v>
      </c>
    </row>
    <row r="37" spans="1:3" x14ac:dyDescent="0.3">
      <c r="A37" t="s">
        <v>38</v>
      </c>
      <c r="B37">
        <v>11</v>
      </c>
      <c r="C37">
        <v>49</v>
      </c>
    </row>
    <row r="38" spans="1:3" x14ac:dyDescent="0.3">
      <c r="A38" t="s">
        <v>39</v>
      </c>
      <c r="B38">
        <v>70</v>
      </c>
      <c r="C38">
        <v>119</v>
      </c>
    </row>
    <row r="39" spans="1:3" x14ac:dyDescent="0.3">
      <c r="A39" t="s">
        <v>40</v>
      </c>
      <c r="B39">
        <v>7</v>
      </c>
      <c r="C39">
        <v>33</v>
      </c>
    </row>
    <row r="40" spans="1:3" x14ac:dyDescent="0.3">
      <c r="A40" t="s">
        <v>41</v>
      </c>
      <c r="B40">
        <v>23</v>
      </c>
      <c r="C40">
        <v>41</v>
      </c>
    </row>
    <row r="41" spans="1:3" x14ac:dyDescent="0.3">
      <c r="A41" t="s">
        <v>42</v>
      </c>
      <c r="B41">
        <v>10</v>
      </c>
      <c r="C41">
        <v>72</v>
      </c>
    </row>
    <row r="42" spans="1:3" x14ac:dyDescent="0.3">
      <c r="A42" t="s">
        <v>43</v>
      </c>
      <c r="B42">
        <v>8</v>
      </c>
      <c r="C42">
        <v>40</v>
      </c>
    </row>
    <row r="43" spans="1:3" x14ac:dyDescent="0.3">
      <c r="A43" t="s">
        <v>44</v>
      </c>
      <c r="B43">
        <v>12</v>
      </c>
      <c r="C43">
        <v>55</v>
      </c>
    </row>
    <row r="44" spans="1:3" x14ac:dyDescent="0.3">
      <c r="A44" t="s">
        <v>45</v>
      </c>
      <c r="B44">
        <v>13</v>
      </c>
      <c r="C44">
        <v>66</v>
      </c>
    </row>
    <row r="45" spans="1:3" x14ac:dyDescent="0.3">
      <c r="A45" t="s">
        <v>46</v>
      </c>
      <c r="B45">
        <v>100</v>
      </c>
      <c r="C45">
        <v>201</v>
      </c>
    </row>
    <row r="46" spans="1:3" x14ac:dyDescent="0.3">
      <c r="A46" t="s">
        <v>47</v>
      </c>
      <c r="B46">
        <v>19</v>
      </c>
      <c r="C46">
        <v>137</v>
      </c>
    </row>
    <row r="47" spans="1:3" x14ac:dyDescent="0.3">
      <c r="A47" t="s">
        <v>48</v>
      </c>
      <c r="B47">
        <v>48</v>
      </c>
      <c r="C47">
        <v>167</v>
      </c>
    </row>
    <row r="48" spans="1:3" x14ac:dyDescent="0.3">
      <c r="A48" t="s">
        <v>49</v>
      </c>
      <c r="B48">
        <v>190</v>
      </c>
      <c r="C48">
        <v>448</v>
      </c>
    </row>
    <row r="49" spans="1:3" x14ac:dyDescent="0.3">
      <c r="A49" t="s">
        <v>50</v>
      </c>
      <c r="B49">
        <v>43</v>
      </c>
      <c r="C49">
        <v>245</v>
      </c>
    </row>
    <row r="50" spans="1:3" x14ac:dyDescent="0.3">
      <c r="A50" t="s">
        <v>51</v>
      </c>
      <c r="B50">
        <v>42</v>
      </c>
      <c r="C50">
        <v>263</v>
      </c>
    </row>
    <row r="51" spans="1:3" x14ac:dyDescent="0.3">
      <c r="A51" t="s">
        <v>52</v>
      </c>
      <c r="B51">
        <v>13</v>
      </c>
      <c r="C51">
        <v>165</v>
      </c>
    </row>
    <row r="52" spans="1:3" x14ac:dyDescent="0.3">
      <c r="A52" t="s">
        <v>53</v>
      </c>
      <c r="B52">
        <v>25</v>
      </c>
      <c r="C52">
        <v>197</v>
      </c>
    </row>
    <row r="53" spans="1:3" x14ac:dyDescent="0.3">
      <c r="A53" t="s">
        <v>54</v>
      </c>
      <c r="B53">
        <v>25</v>
      </c>
      <c r="C53">
        <v>328</v>
      </c>
    </row>
    <row r="54" spans="1:3" x14ac:dyDescent="0.3">
      <c r="A54" t="s">
        <v>55</v>
      </c>
      <c r="B54">
        <v>657</v>
      </c>
      <c r="C54">
        <v>1167</v>
      </c>
    </row>
    <row r="55" spans="1:3" x14ac:dyDescent="0.3">
      <c r="A55" t="s">
        <v>56</v>
      </c>
      <c r="B55">
        <v>72</v>
      </c>
      <c r="C55">
        <v>368</v>
      </c>
    </row>
    <row r="56" spans="1:3" x14ac:dyDescent="0.3">
      <c r="A56" t="s">
        <v>57</v>
      </c>
      <c r="B56">
        <v>271</v>
      </c>
      <c r="C56">
        <v>1160</v>
      </c>
    </row>
    <row r="57" spans="1:3" x14ac:dyDescent="0.3">
      <c r="A57" t="s">
        <v>58</v>
      </c>
      <c r="B57">
        <v>94</v>
      </c>
      <c r="C57">
        <v>759</v>
      </c>
    </row>
    <row r="58" spans="1:3" x14ac:dyDescent="0.3">
      <c r="A58" t="s">
        <v>59</v>
      </c>
      <c r="B58">
        <v>314</v>
      </c>
      <c r="C58">
        <v>2237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14</v>
      </c>
    </row>
    <row r="3" spans="1:3" x14ac:dyDescent="0.3">
      <c r="A3" t="s">
        <v>4</v>
      </c>
      <c r="B3">
        <v>4</v>
      </c>
      <c r="C3">
        <v>20</v>
      </c>
    </row>
    <row r="4" spans="1:3" x14ac:dyDescent="0.3">
      <c r="A4" t="s">
        <v>5</v>
      </c>
      <c r="B4">
        <v>5</v>
      </c>
      <c r="C4">
        <v>15</v>
      </c>
    </row>
    <row r="5" spans="1:3" x14ac:dyDescent="0.3">
      <c r="A5" t="s">
        <v>6</v>
      </c>
      <c r="B5">
        <v>2</v>
      </c>
      <c r="C5">
        <v>19</v>
      </c>
    </row>
    <row r="6" spans="1:3" x14ac:dyDescent="0.3">
      <c r="A6" t="s">
        <v>7</v>
      </c>
      <c r="B6">
        <v>6</v>
      </c>
      <c r="C6">
        <v>17</v>
      </c>
    </row>
    <row r="7" spans="1:3" x14ac:dyDescent="0.3">
      <c r="A7" t="s">
        <v>8</v>
      </c>
      <c r="B7">
        <v>4</v>
      </c>
      <c r="C7">
        <v>16</v>
      </c>
    </row>
    <row r="8" spans="1:3" x14ac:dyDescent="0.3">
      <c r="A8" t="s">
        <v>9</v>
      </c>
      <c r="B8">
        <v>5</v>
      </c>
      <c r="C8">
        <v>22</v>
      </c>
    </row>
    <row r="9" spans="1:3" x14ac:dyDescent="0.3">
      <c r="A9" t="s">
        <v>10</v>
      </c>
      <c r="B9">
        <v>10</v>
      </c>
      <c r="C9">
        <v>25</v>
      </c>
    </row>
    <row r="10" spans="1:3" x14ac:dyDescent="0.3">
      <c r="A10" t="s">
        <v>11</v>
      </c>
      <c r="B10">
        <v>21</v>
      </c>
      <c r="C10">
        <v>38</v>
      </c>
    </row>
    <row r="11" spans="1:3" x14ac:dyDescent="0.3">
      <c r="A11" t="s">
        <v>12</v>
      </c>
      <c r="B11">
        <v>10</v>
      </c>
      <c r="C11">
        <v>25</v>
      </c>
    </row>
    <row r="12" spans="1:3" x14ac:dyDescent="0.3">
      <c r="A12" t="s">
        <v>13</v>
      </c>
      <c r="B12">
        <v>7</v>
      </c>
      <c r="C12">
        <v>44</v>
      </c>
    </row>
    <row r="13" spans="1:3" x14ac:dyDescent="0.3">
      <c r="A13" t="s">
        <v>14</v>
      </c>
      <c r="B13">
        <v>7</v>
      </c>
      <c r="C13">
        <v>22</v>
      </c>
    </row>
    <row r="14" spans="1:3" x14ac:dyDescent="0.3">
      <c r="A14" t="s">
        <v>15</v>
      </c>
      <c r="B14">
        <v>5</v>
      </c>
      <c r="C14">
        <v>24</v>
      </c>
    </row>
    <row r="15" spans="1:3" x14ac:dyDescent="0.3">
      <c r="A15" t="s">
        <v>16</v>
      </c>
      <c r="B15">
        <v>4</v>
      </c>
      <c r="C15">
        <v>22</v>
      </c>
    </row>
    <row r="16" spans="1:3" x14ac:dyDescent="0.3">
      <c r="A16" t="s">
        <v>17</v>
      </c>
      <c r="B16">
        <v>8</v>
      </c>
      <c r="C16">
        <v>27</v>
      </c>
    </row>
    <row r="17" spans="1:3" x14ac:dyDescent="0.3">
      <c r="A17" t="s">
        <v>18</v>
      </c>
      <c r="B17">
        <v>5</v>
      </c>
      <c r="C17">
        <v>46</v>
      </c>
    </row>
    <row r="18" spans="1:3" x14ac:dyDescent="0.3">
      <c r="A18" t="s">
        <v>19</v>
      </c>
      <c r="B18">
        <v>2</v>
      </c>
      <c r="C18">
        <v>18</v>
      </c>
    </row>
    <row r="19" spans="1:3" x14ac:dyDescent="0.3">
      <c r="A19" t="s">
        <v>20</v>
      </c>
      <c r="B19">
        <v>3</v>
      </c>
      <c r="C19">
        <v>17</v>
      </c>
    </row>
    <row r="20" spans="1:3" x14ac:dyDescent="0.3">
      <c r="A20" t="s">
        <v>21</v>
      </c>
      <c r="B20">
        <v>5</v>
      </c>
      <c r="C20">
        <v>15</v>
      </c>
    </row>
    <row r="21" spans="1:3" x14ac:dyDescent="0.3">
      <c r="A21" t="s">
        <v>22</v>
      </c>
      <c r="B21">
        <v>4</v>
      </c>
      <c r="C21">
        <v>17</v>
      </c>
    </row>
    <row r="22" spans="1:3" x14ac:dyDescent="0.3">
      <c r="A22" t="s">
        <v>23</v>
      </c>
      <c r="B22">
        <v>5</v>
      </c>
      <c r="C22">
        <v>23</v>
      </c>
    </row>
    <row r="23" spans="1:3" x14ac:dyDescent="0.3">
      <c r="A23" t="s">
        <v>24</v>
      </c>
      <c r="B23">
        <v>6</v>
      </c>
      <c r="C23">
        <v>18</v>
      </c>
    </row>
    <row r="24" spans="1:3" x14ac:dyDescent="0.3">
      <c r="A24" t="s">
        <v>25</v>
      </c>
      <c r="B24">
        <v>6</v>
      </c>
      <c r="C24">
        <v>20</v>
      </c>
    </row>
    <row r="25" spans="1:3" x14ac:dyDescent="0.3">
      <c r="A25" t="s">
        <v>26</v>
      </c>
      <c r="B25">
        <v>6</v>
      </c>
      <c r="C25">
        <v>45</v>
      </c>
    </row>
    <row r="26" spans="1:3" x14ac:dyDescent="0.3">
      <c r="A26" t="s">
        <v>27</v>
      </c>
      <c r="B26">
        <v>7</v>
      </c>
      <c r="C26">
        <v>45</v>
      </c>
    </row>
    <row r="27" spans="1:3" x14ac:dyDescent="0.3">
      <c r="A27" t="s">
        <v>28</v>
      </c>
      <c r="B27">
        <v>8</v>
      </c>
      <c r="C27">
        <v>39</v>
      </c>
    </row>
    <row r="28" spans="1:3" x14ac:dyDescent="0.3">
      <c r="A28" t="s">
        <v>29</v>
      </c>
      <c r="B28">
        <v>6</v>
      </c>
      <c r="C28">
        <v>46</v>
      </c>
    </row>
    <row r="29" spans="1:3" x14ac:dyDescent="0.3">
      <c r="A29" t="s">
        <v>30</v>
      </c>
      <c r="B29">
        <v>9</v>
      </c>
      <c r="C29">
        <v>60</v>
      </c>
    </row>
    <row r="30" spans="1:3" x14ac:dyDescent="0.3">
      <c r="A30" t="s">
        <v>31</v>
      </c>
      <c r="B30">
        <v>6</v>
      </c>
      <c r="C30">
        <v>50</v>
      </c>
    </row>
    <row r="31" spans="1:3" x14ac:dyDescent="0.3">
      <c r="A31" t="s">
        <v>32</v>
      </c>
      <c r="B31">
        <v>10</v>
      </c>
      <c r="C31">
        <v>44</v>
      </c>
    </row>
    <row r="32" spans="1:3" x14ac:dyDescent="0.3">
      <c r="A32" t="s">
        <v>33</v>
      </c>
      <c r="B32">
        <v>5</v>
      </c>
      <c r="C32">
        <v>52</v>
      </c>
    </row>
    <row r="33" spans="1:3" x14ac:dyDescent="0.3">
      <c r="A33" t="s">
        <v>34</v>
      </c>
      <c r="B33">
        <v>9</v>
      </c>
      <c r="C33">
        <v>48</v>
      </c>
    </row>
    <row r="34" spans="1:3" x14ac:dyDescent="0.3">
      <c r="A34" t="s">
        <v>35</v>
      </c>
      <c r="B34">
        <v>5</v>
      </c>
      <c r="C34">
        <v>73</v>
      </c>
    </row>
    <row r="35" spans="1:3" x14ac:dyDescent="0.3">
      <c r="A35" t="s">
        <v>36</v>
      </c>
      <c r="B35">
        <v>12</v>
      </c>
      <c r="C35">
        <v>49</v>
      </c>
    </row>
    <row r="36" spans="1:3" x14ac:dyDescent="0.3">
      <c r="A36" t="s">
        <v>37</v>
      </c>
      <c r="B36">
        <v>10</v>
      </c>
      <c r="C36">
        <v>43</v>
      </c>
    </row>
    <row r="37" spans="1:3" x14ac:dyDescent="0.3">
      <c r="A37" t="s">
        <v>38</v>
      </c>
      <c r="B37">
        <v>9</v>
      </c>
      <c r="C37">
        <v>40</v>
      </c>
    </row>
    <row r="38" spans="1:3" x14ac:dyDescent="0.3">
      <c r="A38" t="s">
        <v>39</v>
      </c>
      <c r="B38">
        <v>42</v>
      </c>
      <c r="C38">
        <v>77</v>
      </c>
    </row>
    <row r="39" spans="1:3" x14ac:dyDescent="0.3">
      <c r="A39" t="s">
        <v>40</v>
      </c>
      <c r="B39">
        <v>3</v>
      </c>
      <c r="C39">
        <v>25</v>
      </c>
    </row>
    <row r="40" spans="1:3" x14ac:dyDescent="0.3">
      <c r="A40" t="s">
        <v>41</v>
      </c>
      <c r="B40">
        <v>15</v>
      </c>
      <c r="C40">
        <v>27</v>
      </c>
    </row>
    <row r="41" spans="1:3" x14ac:dyDescent="0.3">
      <c r="A41" t="s">
        <v>42</v>
      </c>
      <c r="B41">
        <v>8</v>
      </c>
      <c r="C41">
        <v>50</v>
      </c>
    </row>
    <row r="42" spans="1:3" x14ac:dyDescent="0.3">
      <c r="A42" t="s">
        <v>43</v>
      </c>
      <c r="B42">
        <v>6</v>
      </c>
      <c r="C42">
        <v>26</v>
      </c>
    </row>
    <row r="43" spans="1:3" x14ac:dyDescent="0.3">
      <c r="A43" t="s">
        <v>44</v>
      </c>
      <c r="B43">
        <v>6</v>
      </c>
      <c r="C43">
        <v>35</v>
      </c>
    </row>
    <row r="44" spans="1:3" x14ac:dyDescent="0.3">
      <c r="A44" t="s">
        <v>45</v>
      </c>
      <c r="B44">
        <v>7</v>
      </c>
      <c r="C44">
        <v>40</v>
      </c>
    </row>
    <row r="45" spans="1:3" x14ac:dyDescent="0.3">
      <c r="A45" t="s">
        <v>46</v>
      </c>
      <c r="B45">
        <v>78</v>
      </c>
      <c r="C45">
        <v>157</v>
      </c>
    </row>
    <row r="46" spans="1:3" x14ac:dyDescent="0.3">
      <c r="A46" t="s">
        <v>47</v>
      </c>
      <c r="B46">
        <v>13</v>
      </c>
      <c r="C46">
        <v>103</v>
      </c>
    </row>
    <row r="47" spans="1:3" x14ac:dyDescent="0.3">
      <c r="A47" t="s">
        <v>48</v>
      </c>
      <c r="B47">
        <v>33</v>
      </c>
      <c r="C47">
        <v>116</v>
      </c>
    </row>
    <row r="48" spans="1:3" x14ac:dyDescent="0.3">
      <c r="A48" t="s">
        <v>49</v>
      </c>
      <c r="B48">
        <v>160</v>
      </c>
      <c r="C48">
        <v>345</v>
      </c>
    </row>
    <row r="49" spans="1:3" x14ac:dyDescent="0.3">
      <c r="A49" t="s">
        <v>50</v>
      </c>
      <c r="B49">
        <v>37</v>
      </c>
      <c r="C49">
        <v>177</v>
      </c>
    </row>
    <row r="50" spans="1:3" x14ac:dyDescent="0.3">
      <c r="A50" t="s">
        <v>51</v>
      </c>
      <c r="B50">
        <v>40</v>
      </c>
      <c r="C50">
        <v>193</v>
      </c>
    </row>
    <row r="51" spans="1:3" x14ac:dyDescent="0.3">
      <c r="A51" t="s">
        <v>52</v>
      </c>
      <c r="B51">
        <v>11</v>
      </c>
      <c r="C51">
        <v>117</v>
      </c>
    </row>
    <row r="52" spans="1:3" x14ac:dyDescent="0.3">
      <c r="A52" t="s">
        <v>53</v>
      </c>
      <c r="B52">
        <v>13</v>
      </c>
      <c r="C52">
        <v>129</v>
      </c>
    </row>
    <row r="53" spans="1:3" x14ac:dyDescent="0.3">
      <c r="A53" t="s">
        <v>54</v>
      </c>
      <c r="B53">
        <v>19</v>
      </c>
      <c r="C53">
        <v>220</v>
      </c>
    </row>
    <row r="54" spans="1:3" x14ac:dyDescent="0.3">
      <c r="A54" t="s">
        <v>55</v>
      </c>
      <c r="B54">
        <v>559</v>
      </c>
      <c r="C54">
        <v>917</v>
      </c>
    </row>
    <row r="55" spans="1:3" x14ac:dyDescent="0.3">
      <c r="A55" t="s">
        <v>56</v>
      </c>
      <c r="B55">
        <v>47</v>
      </c>
      <c r="C55">
        <v>261</v>
      </c>
    </row>
    <row r="56" spans="1:3" x14ac:dyDescent="0.3">
      <c r="A56" t="s">
        <v>57</v>
      </c>
      <c r="B56">
        <v>207</v>
      </c>
      <c r="C56">
        <v>826</v>
      </c>
    </row>
    <row r="57" spans="1:3" x14ac:dyDescent="0.3">
      <c r="A57" t="s">
        <v>58</v>
      </c>
      <c r="B57">
        <v>68</v>
      </c>
      <c r="C57">
        <v>548</v>
      </c>
    </row>
    <row r="58" spans="1:3" x14ac:dyDescent="0.3">
      <c r="A58" t="s">
        <v>59</v>
      </c>
      <c r="B58">
        <v>196</v>
      </c>
      <c r="C58">
        <v>1489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5</v>
      </c>
      <c r="C4">
        <v>13</v>
      </c>
    </row>
    <row r="5" spans="1:3" x14ac:dyDescent="0.3">
      <c r="A5" t="s">
        <v>6</v>
      </c>
      <c r="B5">
        <v>2</v>
      </c>
      <c r="C5">
        <v>13</v>
      </c>
    </row>
    <row r="6" spans="1:3" x14ac:dyDescent="0.3">
      <c r="A6" t="s">
        <v>7</v>
      </c>
      <c r="B6">
        <v>6</v>
      </c>
      <c r="C6">
        <v>15</v>
      </c>
    </row>
    <row r="7" spans="1:3" x14ac:dyDescent="0.3">
      <c r="A7" t="s">
        <v>8</v>
      </c>
      <c r="B7">
        <v>4</v>
      </c>
      <c r="C7">
        <v>14</v>
      </c>
    </row>
    <row r="8" spans="1:3" x14ac:dyDescent="0.3">
      <c r="A8" t="s">
        <v>9</v>
      </c>
      <c r="B8">
        <v>5</v>
      </c>
      <c r="C8">
        <v>14</v>
      </c>
    </row>
    <row r="9" spans="1:3" x14ac:dyDescent="0.3">
      <c r="A9" t="s">
        <v>10</v>
      </c>
      <c r="B9">
        <v>6</v>
      </c>
      <c r="C9">
        <v>20</v>
      </c>
    </row>
    <row r="10" spans="1:3" x14ac:dyDescent="0.3">
      <c r="A10" t="s">
        <v>11</v>
      </c>
      <c r="B10">
        <v>17</v>
      </c>
      <c r="C10">
        <v>32</v>
      </c>
    </row>
    <row r="11" spans="1:3" x14ac:dyDescent="0.3">
      <c r="A11" t="s">
        <v>12</v>
      </c>
      <c r="B11">
        <v>8</v>
      </c>
      <c r="C11">
        <v>21</v>
      </c>
    </row>
    <row r="12" spans="1:3" x14ac:dyDescent="0.3">
      <c r="A12" t="s">
        <v>13</v>
      </c>
      <c r="B12">
        <v>5</v>
      </c>
      <c r="C12">
        <v>34</v>
      </c>
    </row>
    <row r="13" spans="1:3" x14ac:dyDescent="0.3">
      <c r="A13" t="s">
        <v>14</v>
      </c>
      <c r="B13">
        <v>5</v>
      </c>
      <c r="C13">
        <v>17</v>
      </c>
    </row>
    <row r="14" spans="1:3" x14ac:dyDescent="0.3">
      <c r="A14" t="s">
        <v>15</v>
      </c>
      <c r="B14">
        <v>3</v>
      </c>
      <c r="C14">
        <v>18</v>
      </c>
    </row>
    <row r="15" spans="1:3" x14ac:dyDescent="0.3">
      <c r="A15" t="s">
        <v>16</v>
      </c>
      <c r="B15">
        <v>4</v>
      </c>
      <c r="C15">
        <v>20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16</v>
      </c>
    </row>
    <row r="19" spans="1:3" x14ac:dyDescent="0.3">
      <c r="A19" t="s">
        <v>20</v>
      </c>
      <c r="B19">
        <v>3</v>
      </c>
      <c r="C19">
        <v>13</v>
      </c>
    </row>
    <row r="20" spans="1:3" x14ac:dyDescent="0.3">
      <c r="A20" t="s">
        <v>21</v>
      </c>
      <c r="B20">
        <v>5</v>
      </c>
      <c r="C20">
        <v>11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17</v>
      </c>
    </row>
    <row r="23" spans="1:3" x14ac:dyDescent="0.3">
      <c r="A23" t="s">
        <v>24</v>
      </c>
      <c r="B23">
        <v>5</v>
      </c>
      <c r="C23">
        <v>14</v>
      </c>
    </row>
    <row r="24" spans="1:3" x14ac:dyDescent="0.3">
      <c r="A24" t="s">
        <v>25</v>
      </c>
      <c r="B24">
        <v>4</v>
      </c>
      <c r="C24">
        <v>11</v>
      </c>
    </row>
    <row r="25" spans="1:3" x14ac:dyDescent="0.3">
      <c r="A25" t="s">
        <v>26</v>
      </c>
      <c r="B25">
        <v>6</v>
      </c>
      <c r="C25">
        <v>33</v>
      </c>
    </row>
    <row r="26" spans="1:3" x14ac:dyDescent="0.3">
      <c r="A26" t="s">
        <v>27</v>
      </c>
      <c r="B26">
        <v>6</v>
      </c>
      <c r="C26">
        <v>30</v>
      </c>
    </row>
    <row r="27" spans="1:3" x14ac:dyDescent="0.3">
      <c r="A27" t="s">
        <v>28</v>
      </c>
      <c r="B27">
        <v>4</v>
      </c>
      <c r="C27">
        <v>31</v>
      </c>
    </row>
    <row r="28" spans="1:3" x14ac:dyDescent="0.3">
      <c r="A28" t="s">
        <v>29</v>
      </c>
      <c r="B28">
        <v>4</v>
      </c>
      <c r="C28">
        <v>34</v>
      </c>
    </row>
    <row r="29" spans="1:3" x14ac:dyDescent="0.3">
      <c r="A29" t="s">
        <v>30</v>
      </c>
      <c r="B29">
        <v>6</v>
      </c>
      <c r="C29">
        <v>45</v>
      </c>
    </row>
    <row r="30" spans="1:3" x14ac:dyDescent="0.3">
      <c r="A30" t="s">
        <v>31</v>
      </c>
      <c r="B30">
        <v>6</v>
      </c>
      <c r="C30">
        <v>36</v>
      </c>
    </row>
    <row r="31" spans="1:3" x14ac:dyDescent="0.3">
      <c r="A31" t="s">
        <v>32</v>
      </c>
      <c r="B31">
        <v>6</v>
      </c>
      <c r="C31">
        <v>32</v>
      </c>
    </row>
    <row r="32" spans="1:3" x14ac:dyDescent="0.3">
      <c r="A32" t="s">
        <v>33</v>
      </c>
      <c r="B32">
        <v>5</v>
      </c>
      <c r="C32">
        <v>39</v>
      </c>
    </row>
    <row r="33" spans="1:3" x14ac:dyDescent="0.3">
      <c r="A33" t="s">
        <v>34</v>
      </c>
      <c r="B33">
        <v>6</v>
      </c>
      <c r="C33">
        <v>32</v>
      </c>
    </row>
    <row r="34" spans="1:3" x14ac:dyDescent="0.3">
      <c r="A34" t="s">
        <v>35</v>
      </c>
      <c r="B34">
        <v>5</v>
      </c>
      <c r="C34">
        <v>55</v>
      </c>
    </row>
    <row r="35" spans="1:3" x14ac:dyDescent="0.3">
      <c r="A35" t="s">
        <v>36</v>
      </c>
      <c r="B35">
        <v>9</v>
      </c>
      <c r="C35">
        <v>40</v>
      </c>
    </row>
    <row r="36" spans="1:3" x14ac:dyDescent="0.3">
      <c r="A36" t="s">
        <v>37</v>
      </c>
      <c r="B36">
        <v>6</v>
      </c>
      <c r="C36">
        <v>35</v>
      </c>
    </row>
    <row r="37" spans="1:3" x14ac:dyDescent="0.3">
      <c r="A37" t="s">
        <v>38</v>
      </c>
      <c r="B37">
        <v>7</v>
      </c>
      <c r="C37">
        <v>30</v>
      </c>
    </row>
    <row r="38" spans="1:3" x14ac:dyDescent="0.3">
      <c r="A38" t="s">
        <v>39</v>
      </c>
      <c r="B38">
        <v>30</v>
      </c>
      <c r="C38">
        <v>61</v>
      </c>
    </row>
    <row r="39" spans="1:3" x14ac:dyDescent="0.3">
      <c r="A39" t="s">
        <v>40</v>
      </c>
      <c r="B39">
        <v>3</v>
      </c>
      <c r="C39">
        <v>21</v>
      </c>
    </row>
    <row r="40" spans="1:3" x14ac:dyDescent="0.3">
      <c r="A40" t="s">
        <v>41</v>
      </c>
      <c r="B40">
        <v>7</v>
      </c>
      <c r="C40">
        <v>14</v>
      </c>
    </row>
    <row r="41" spans="1:3" x14ac:dyDescent="0.3">
      <c r="A41" t="s">
        <v>42</v>
      </c>
      <c r="B41">
        <v>6</v>
      </c>
      <c r="C41">
        <v>34</v>
      </c>
    </row>
    <row r="42" spans="1:3" x14ac:dyDescent="0.3">
      <c r="A42" t="s">
        <v>43</v>
      </c>
      <c r="B42">
        <v>4</v>
      </c>
      <c r="C42">
        <v>18</v>
      </c>
    </row>
    <row r="43" spans="1:3" x14ac:dyDescent="0.3">
      <c r="A43" t="s">
        <v>44</v>
      </c>
      <c r="B43">
        <v>6</v>
      </c>
      <c r="C43">
        <v>27</v>
      </c>
    </row>
    <row r="44" spans="1:3" x14ac:dyDescent="0.3">
      <c r="A44" t="s">
        <v>45</v>
      </c>
      <c r="B44">
        <v>5</v>
      </c>
      <c r="C44">
        <v>35</v>
      </c>
    </row>
    <row r="45" spans="1:3" x14ac:dyDescent="0.3">
      <c r="A45" t="s">
        <v>46</v>
      </c>
      <c r="B45">
        <v>76</v>
      </c>
      <c r="C45">
        <v>133</v>
      </c>
    </row>
    <row r="46" spans="1:3" x14ac:dyDescent="0.3">
      <c r="A46" t="s">
        <v>47</v>
      </c>
      <c r="B46">
        <v>9</v>
      </c>
      <c r="C46">
        <v>73</v>
      </c>
    </row>
    <row r="47" spans="1:3" x14ac:dyDescent="0.3">
      <c r="A47" t="s">
        <v>48</v>
      </c>
      <c r="B47">
        <v>25</v>
      </c>
      <c r="C47">
        <v>88</v>
      </c>
    </row>
    <row r="48" spans="1:3" x14ac:dyDescent="0.3">
      <c r="A48" t="s">
        <v>49</v>
      </c>
      <c r="B48">
        <v>114</v>
      </c>
      <c r="C48">
        <v>264</v>
      </c>
    </row>
    <row r="49" spans="1:3" x14ac:dyDescent="0.3">
      <c r="A49" t="s">
        <v>50</v>
      </c>
      <c r="B49">
        <v>27</v>
      </c>
      <c r="C49">
        <v>139</v>
      </c>
    </row>
    <row r="50" spans="1:3" x14ac:dyDescent="0.3">
      <c r="A50" t="s">
        <v>51</v>
      </c>
      <c r="B50">
        <v>24</v>
      </c>
      <c r="C50">
        <v>137</v>
      </c>
    </row>
    <row r="51" spans="1:3" x14ac:dyDescent="0.3">
      <c r="A51" t="s">
        <v>52</v>
      </c>
      <c r="B51">
        <v>9</v>
      </c>
      <c r="C51">
        <v>85</v>
      </c>
    </row>
    <row r="52" spans="1:3" x14ac:dyDescent="0.3">
      <c r="A52" t="s">
        <v>53</v>
      </c>
      <c r="B52">
        <v>6</v>
      </c>
      <c r="C52">
        <v>90</v>
      </c>
    </row>
    <row r="53" spans="1:3" x14ac:dyDescent="0.3">
      <c r="A53" t="s">
        <v>54</v>
      </c>
      <c r="B53">
        <v>12</v>
      </c>
      <c r="C53">
        <v>150</v>
      </c>
    </row>
    <row r="54" spans="1:3" x14ac:dyDescent="0.3">
      <c r="A54" t="s">
        <v>55</v>
      </c>
      <c r="B54">
        <v>473</v>
      </c>
      <c r="C54">
        <v>730</v>
      </c>
    </row>
    <row r="55" spans="1:3" x14ac:dyDescent="0.3">
      <c r="A55" t="s">
        <v>56</v>
      </c>
      <c r="B55">
        <v>37</v>
      </c>
      <c r="C55">
        <v>211</v>
      </c>
    </row>
    <row r="56" spans="1:3" x14ac:dyDescent="0.3">
      <c r="A56" t="s">
        <v>57</v>
      </c>
      <c r="B56">
        <v>161</v>
      </c>
      <c r="C56">
        <v>622</v>
      </c>
    </row>
    <row r="57" spans="1:3" x14ac:dyDescent="0.3">
      <c r="A57" t="s">
        <v>58</v>
      </c>
      <c r="B57">
        <v>50</v>
      </c>
      <c r="C57">
        <v>390</v>
      </c>
    </row>
    <row r="58" spans="1:3" x14ac:dyDescent="0.3">
      <c r="A58" t="s">
        <v>59</v>
      </c>
      <c r="B58">
        <v>135</v>
      </c>
      <c r="C58">
        <v>1083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11</v>
      </c>
    </row>
    <row r="5" spans="1:3" x14ac:dyDescent="0.3">
      <c r="A5" t="s">
        <v>6</v>
      </c>
      <c r="B5">
        <v>2</v>
      </c>
      <c r="C5">
        <v>10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4</v>
      </c>
      <c r="C7">
        <v>12</v>
      </c>
    </row>
    <row r="8" spans="1:3" x14ac:dyDescent="0.3">
      <c r="A8" t="s">
        <v>9</v>
      </c>
      <c r="B8">
        <v>5</v>
      </c>
      <c r="C8">
        <v>12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15</v>
      </c>
      <c r="C10">
        <v>30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25</v>
      </c>
    </row>
    <row r="13" spans="1:3" x14ac:dyDescent="0.3">
      <c r="A13" t="s">
        <v>14</v>
      </c>
      <c r="B13">
        <v>5</v>
      </c>
      <c r="C13">
        <v>13</v>
      </c>
    </row>
    <row r="14" spans="1:3" x14ac:dyDescent="0.3">
      <c r="A14" t="s">
        <v>15</v>
      </c>
      <c r="B14">
        <v>3</v>
      </c>
      <c r="C14">
        <v>14</v>
      </c>
    </row>
    <row r="15" spans="1:3" x14ac:dyDescent="0.3">
      <c r="A15" t="s">
        <v>16</v>
      </c>
      <c r="B15">
        <v>4</v>
      </c>
      <c r="C15">
        <v>14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13</v>
      </c>
    </row>
    <row r="19" spans="1:3" x14ac:dyDescent="0.3">
      <c r="A19" t="s">
        <v>20</v>
      </c>
      <c r="B19">
        <v>3</v>
      </c>
      <c r="C19">
        <v>11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11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10</v>
      </c>
    </row>
    <row r="25" spans="1:3" x14ac:dyDescent="0.3">
      <c r="A25" t="s">
        <v>26</v>
      </c>
      <c r="B25">
        <v>5</v>
      </c>
      <c r="C25">
        <v>24</v>
      </c>
    </row>
    <row r="26" spans="1:3" x14ac:dyDescent="0.3">
      <c r="A26" t="s">
        <v>27</v>
      </c>
      <c r="B26">
        <v>5</v>
      </c>
      <c r="C26">
        <v>23</v>
      </c>
    </row>
    <row r="27" spans="1:3" x14ac:dyDescent="0.3">
      <c r="A27" t="s">
        <v>28</v>
      </c>
      <c r="B27">
        <v>2</v>
      </c>
      <c r="C27">
        <v>23</v>
      </c>
    </row>
    <row r="28" spans="1:3" x14ac:dyDescent="0.3">
      <c r="A28" t="s">
        <v>29</v>
      </c>
      <c r="B28">
        <v>4</v>
      </c>
      <c r="C28">
        <v>26</v>
      </c>
    </row>
    <row r="29" spans="1:3" x14ac:dyDescent="0.3">
      <c r="A29" t="s">
        <v>30</v>
      </c>
      <c r="B29">
        <v>6</v>
      </c>
      <c r="C29">
        <v>33</v>
      </c>
    </row>
    <row r="30" spans="1:3" x14ac:dyDescent="0.3">
      <c r="A30" t="s">
        <v>31</v>
      </c>
      <c r="B30">
        <v>6</v>
      </c>
      <c r="C30">
        <v>30</v>
      </c>
    </row>
    <row r="31" spans="1:3" x14ac:dyDescent="0.3">
      <c r="A31" t="s">
        <v>32</v>
      </c>
      <c r="B31">
        <v>5</v>
      </c>
      <c r="C31">
        <v>21</v>
      </c>
    </row>
    <row r="32" spans="1:3" x14ac:dyDescent="0.3">
      <c r="A32" t="s">
        <v>33</v>
      </c>
      <c r="B32">
        <v>5</v>
      </c>
      <c r="C32">
        <v>37</v>
      </c>
    </row>
    <row r="33" spans="1:3" x14ac:dyDescent="0.3">
      <c r="A33" t="s">
        <v>34</v>
      </c>
      <c r="B33">
        <v>6</v>
      </c>
      <c r="C33">
        <v>26</v>
      </c>
    </row>
    <row r="34" spans="1:3" x14ac:dyDescent="0.3">
      <c r="A34" t="s">
        <v>35</v>
      </c>
      <c r="B34">
        <v>3</v>
      </c>
      <c r="C34">
        <v>39</v>
      </c>
    </row>
    <row r="35" spans="1:3" x14ac:dyDescent="0.3">
      <c r="A35" t="s">
        <v>36</v>
      </c>
      <c r="B35">
        <v>7</v>
      </c>
      <c r="C35">
        <v>25</v>
      </c>
    </row>
    <row r="36" spans="1:3" x14ac:dyDescent="0.3">
      <c r="A36" t="s">
        <v>37</v>
      </c>
      <c r="B36">
        <v>4</v>
      </c>
      <c r="C36">
        <v>30</v>
      </c>
    </row>
    <row r="37" spans="1:3" x14ac:dyDescent="0.3">
      <c r="A37" t="s">
        <v>38</v>
      </c>
      <c r="B37">
        <v>7</v>
      </c>
      <c r="C37">
        <v>26</v>
      </c>
    </row>
    <row r="38" spans="1:3" x14ac:dyDescent="0.3">
      <c r="A38" t="s">
        <v>39</v>
      </c>
      <c r="B38">
        <v>12</v>
      </c>
      <c r="C38">
        <v>37</v>
      </c>
    </row>
    <row r="39" spans="1:3" x14ac:dyDescent="0.3">
      <c r="A39" t="s">
        <v>40</v>
      </c>
      <c r="B39">
        <v>3</v>
      </c>
      <c r="C39">
        <v>13</v>
      </c>
    </row>
    <row r="40" spans="1:3" x14ac:dyDescent="0.3">
      <c r="A40" t="s">
        <v>41</v>
      </c>
      <c r="B40">
        <v>5</v>
      </c>
      <c r="C40">
        <v>12</v>
      </c>
    </row>
    <row r="41" spans="1:3" x14ac:dyDescent="0.3">
      <c r="A41" t="s">
        <v>42</v>
      </c>
      <c r="B41">
        <v>6</v>
      </c>
      <c r="C41">
        <v>31</v>
      </c>
    </row>
    <row r="42" spans="1:3" x14ac:dyDescent="0.3">
      <c r="A42" t="s">
        <v>43</v>
      </c>
      <c r="B42">
        <v>4</v>
      </c>
      <c r="C42">
        <v>14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68</v>
      </c>
      <c r="C45">
        <v>113</v>
      </c>
    </row>
    <row r="46" spans="1:3" x14ac:dyDescent="0.3">
      <c r="A46" t="s">
        <v>47</v>
      </c>
      <c r="B46">
        <v>7</v>
      </c>
      <c r="C46">
        <v>56</v>
      </c>
    </row>
    <row r="47" spans="1:3" x14ac:dyDescent="0.3">
      <c r="A47" t="s">
        <v>48</v>
      </c>
      <c r="B47">
        <v>21</v>
      </c>
      <c r="C47">
        <v>68</v>
      </c>
    </row>
    <row r="48" spans="1:3" x14ac:dyDescent="0.3">
      <c r="A48" t="s">
        <v>49</v>
      </c>
      <c r="B48">
        <v>90</v>
      </c>
      <c r="C48">
        <v>206</v>
      </c>
    </row>
    <row r="49" spans="1:3" x14ac:dyDescent="0.3">
      <c r="A49" t="s">
        <v>50</v>
      </c>
      <c r="B49">
        <v>19</v>
      </c>
      <c r="C49">
        <v>101</v>
      </c>
    </row>
    <row r="50" spans="1:3" x14ac:dyDescent="0.3">
      <c r="A50" t="s">
        <v>51</v>
      </c>
      <c r="B50">
        <v>13</v>
      </c>
      <c r="C50">
        <v>96</v>
      </c>
    </row>
    <row r="51" spans="1:3" x14ac:dyDescent="0.3">
      <c r="A51" t="s">
        <v>52</v>
      </c>
      <c r="B51">
        <v>7</v>
      </c>
      <c r="C51">
        <v>69</v>
      </c>
    </row>
    <row r="52" spans="1:3" x14ac:dyDescent="0.3">
      <c r="A52" t="s">
        <v>53</v>
      </c>
      <c r="B52">
        <v>6</v>
      </c>
      <c r="C52">
        <v>59</v>
      </c>
    </row>
    <row r="53" spans="1:3" x14ac:dyDescent="0.3">
      <c r="A53" t="s">
        <v>54</v>
      </c>
      <c r="B53">
        <v>10</v>
      </c>
      <c r="C53">
        <v>114</v>
      </c>
    </row>
    <row r="54" spans="1:3" x14ac:dyDescent="0.3">
      <c r="A54" t="s">
        <v>55</v>
      </c>
      <c r="B54">
        <v>417</v>
      </c>
      <c r="C54">
        <v>602</v>
      </c>
    </row>
    <row r="55" spans="1:3" x14ac:dyDescent="0.3">
      <c r="A55" t="s">
        <v>56</v>
      </c>
      <c r="B55">
        <v>29</v>
      </c>
      <c r="C55">
        <v>167</v>
      </c>
    </row>
    <row r="56" spans="1:3" x14ac:dyDescent="0.3">
      <c r="A56" t="s">
        <v>57</v>
      </c>
      <c r="B56">
        <v>121</v>
      </c>
      <c r="C56">
        <v>492</v>
      </c>
    </row>
    <row r="57" spans="1:3" x14ac:dyDescent="0.3">
      <c r="A57" t="s">
        <v>58</v>
      </c>
      <c r="B57">
        <v>35</v>
      </c>
      <c r="C57">
        <v>293</v>
      </c>
    </row>
    <row r="58" spans="1:3" x14ac:dyDescent="0.3">
      <c r="A58" t="s">
        <v>59</v>
      </c>
      <c r="B58">
        <v>111</v>
      </c>
      <c r="C58">
        <v>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2</v>
      </c>
      <c r="C7">
        <v>10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9</v>
      </c>
      <c r="C10">
        <v>18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12</v>
      </c>
    </row>
    <row r="16" spans="1:3" x14ac:dyDescent="0.3">
      <c r="A16" t="s">
        <v>17</v>
      </c>
      <c r="B16">
        <v>3</v>
      </c>
      <c r="C16">
        <v>12</v>
      </c>
    </row>
    <row r="17" spans="1:3" x14ac:dyDescent="0.3">
      <c r="A17" t="s">
        <v>18</v>
      </c>
      <c r="B17">
        <v>5</v>
      </c>
      <c r="C17">
        <v>23</v>
      </c>
    </row>
    <row r="18" spans="1:3" x14ac:dyDescent="0.3">
      <c r="A18" t="s">
        <v>19</v>
      </c>
      <c r="B18">
        <v>2</v>
      </c>
      <c r="C18">
        <v>9</v>
      </c>
    </row>
    <row r="19" spans="1:3" x14ac:dyDescent="0.3">
      <c r="A19" t="s">
        <v>20</v>
      </c>
      <c r="B19">
        <v>2</v>
      </c>
      <c r="C19">
        <v>10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11</v>
      </c>
    </row>
    <row r="22" spans="1:3" x14ac:dyDescent="0.3">
      <c r="A22" t="s">
        <v>23</v>
      </c>
      <c r="B22">
        <v>3</v>
      </c>
      <c r="C22">
        <v>9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8</v>
      </c>
    </row>
    <row r="25" spans="1:3" x14ac:dyDescent="0.3">
      <c r="A25" t="s">
        <v>26</v>
      </c>
      <c r="B25">
        <v>5</v>
      </c>
      <c r="C25">
        <v>20</v>
      </c>
    </row>
    <row r="26" spans="1:3" x14ac:dyDescent="0.3">
      <c r="A26" t="s">
        <v>27</v>
      </c>
      <c r="B26">
        <v>3</v>
      </c>
      <c r="C26">
        <v>17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4</v>
      </c>
      <c r="C28">
        <v>22</v>
      </c>
    </row>
    <row r="29" spans="1:3" x14ac:dyDescent="0.3">
      <c r="A29" t="s">
        <v>30</v>
      </c>
      <c r="B29">
        <v>4</v>
      </c>
      <c r="C29">
        <v>25</v>
      </c>
    </row>
    <row r="30" spans="1:3" x14ac:dyDescent="0.3">
      <c r="A30" t="s">
        <v>31</v>
      </c>
      <c r="B30">
        <v>5</v>
      </c>
      <c r="C30">
        <v>25</v>
      </c>
    </row>
    <row r="31" spans="1:3" x14ac:dyDescent="0.3">
      <c r="A31" t="s">
        <v>32</v>
      </c>
      <c r="B31">
        <v>5</v>
      </c>
      <c r="C31">
        <v>15</v>
      </c>
    </row>
    <row r="32" spans="1:3" x14ac:dyDescent="0.3">
      <c r="A32" t="s">
        <v>33</v>
      </c>
      <c r="B32">
        <v>5</v>
      </c>
      <c r="C32">
        <v>25</v>
      </c>
    </row>
    <row r="33" spans="1:3" x14ac:dyDescent="0.3">
      <c r="A33" t="s">
        <v>34</v>
      </c>
      <c r="B33">
        <v>6</v>
      </c>
      <c r="C33">
        <v>22</v>
      </c>
    </row>
    <row r="34" spans="1:3" x14ac:dyDescent="0.3">
      <c r="A34" t="s">
        <v>35</v>
      </c>
      <c r="B34">
        <v>2</v>
      </c>
      <c r="C34">
        <v>25</v>
      </c>
    </row>
    <row r="35" spans="1:3" x14ac:dyDescent="0.3">
      <c r="A35" t="s">
        <v>36</v>
      </c>
      <c r="B35">
        <v>5</v>
      </c>
      <c r="C35">
        <v>19</v>
      </c>
    </row>
    <row r="36" spans="1:3" x14ac:dyDescent="0.3">
      <c r="A36" t="s">
        <v>37</v>
      </c>
      <c r="B36">
        <v>4</v>
      </c>
      <c r="C36">
        <v>22</v>
      </c>
    </row>
    <row r="37" spans="1:3" x14ac:dyDescent="0.3">
      <c r="A37" t="s">
        <v>38</v>
      </c>
      <c r="B37">
        <v>5</v>
      </c>
      <c r="C37">
        <v>20</v>
      </c>
    </row>
    <row r="38" spans="1:3" x14ac:dyDescent="0.3">
      <c r="A38" t="s">
        <v>39</v>
      </c>
      <c r="B38">
        <v>8</v>
      </c>
      <c r="C38">
        <v>25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4</v>
      </c>
      <c r="C41">
        <v>25</v>
      </c>
    </row>
    <row r="42" spans="1:3" x14ac:dyDescent="0.3">
      <c r="A42" t="s">
        <v>43</v>
      </c>
      <c r="B42">
        <v>2</v>
      </c>
      <c r="C42">
        <v>12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58</v>
      </c>
      <c r="C45">
        <v>86</v>
      </c>
    </row>
    <row r="46" spans="1:3" x14ac:dyDescent="0.3">
      <c r="A46" t="s">
        <v>47</v>
      </c>
      <c r="B46">
        <v>5</v>
      </c>
      <c r="C46">
        <v>40</v>
      </c>
    </row>
    <row r="47" spans="1:3" x14ac:dyDescent="0.3">
      <c r="A47" t="s">
        <v>48</v>
      </c>
      <c r="B47">
        <v>21</v>
      </c>
      <c r="C47">
        <v>58</v>
      </c>
    </row>
    <row r="48" spans="1:3" x14ac:dyDescent="0.3">
      <c r="A48" t="s">
        <v>49</v>
      </c>
      <c r="B48">
        <v>80</v>
      </c>
      <c r="C48">
        <v>174</v>
      </c>
    </row>
    <row r="49" spans="1:3" x14ac:dyDescent="0.3">
      <c r="A49" t="s">
        <v>50</v>
      </c>
      <c r="B49">
        <v>13</v>
      </c>
      <c r="C49">
        <v>81</v>
      </c>
    </row>
    <row r="50" spans="1:3" x14ac:dyDescent="0.3">
      <c r="A50" t="s">
        <v>51</v>
      </c>
      <c r="B50">
        <v>9</v>
      </c>
      <c r="C50">
        <v>78</v>
      </c>
    </row>
    <row r="51" spans="1:3" x14ac:dyDescent="0.3">
      <c r="A51" t="s">
        <v>52</v>
      </c>
      <c r="B51">
        <v>5</v>
      </c>
      <c r="C51">
        <v>45</v>
      </c>
    </row>
    <row r="52" spans="1:3" x14ac:dyDescent="0.3">
      <c r="A52" t="s">
        <v>53</v>
      </c>
      <c r="B52">
        <v>5</v>
      </c>
      <c r="C52">
        <v>46</v>
      </c>
    </row>
    <row r="53" spans="1:3" x14ac:dyDescent="0.3">
      <c r="A53" t="s">
        <v>54</v>
      </c>
      <c r="B53">
        <v>9</v>
      </c>
      <c r="C53">
        <v>84</v>
      </c>
    </row>
    <row r="54" spans="1:3" x14ac:dyDescent="0.3">
      <c r="A54" t="s">
        <v>55</v>
      </c>
      <c r="B54">
        <v>378</v>
      </c>
      <c r="C54">
        <v>510</v>
      </c>
    </row>
    <row r="55" spans="1:3" x14ac:dyDescent="0.3">
      <c r="A55" t="s">
        <v>56</v>
      </c>
      <c r="B55">
        <v>25</v>
      </c>
      <c r="C55">
        <v>121</v>
      </c>
    </row>
    <row r="56" spans="1:3" x14ac:dyDescent="0.3">
      <c r="A56" t="s">
        <v>57</v>
      </c>
      <c r="B56">
        <v>83</v>
      </c>
      <c r="C56">
        <v>354</v>
      </c>
    </row>
    <row r="57" spans="1:3" x14ac:dyDescent="0.3">
      <c r="A57" t="s">
        <v>58</v>
      </c>
      <c r="B57">
        <v>28</v>
      </c>
      <c r="C57">
        <v>244</v>
      </c>
    </row>
    <row r="58" spans="1:3" x14ac:dyDescent="0.3">
      <c r="A58" t="s">
        <v>59</v>
      </c>
      <c r="B58">
        <v>93</v>
      </c>
      <c r="C58">
        <v>659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11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9</v>
      </c>
    </row>
    <row r="7" spans="1:3" x14ac:dyDescent="0.3">
      <c r="A7" t="s">
        <v>8</v>
      </c>
      <c r="B7">
        <v>2</v>
      </c>
      <c r="C7">
        <v>8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3</v>
      </c>
      <c r="C10">
        <v>12</v>
      </c>
    </row>
    <row r="11" spans="1:3" x14ac:dyDescent="0.3">
      <c r="A11" t="s">
        <v>12</v>
      </c>
      <c r="B11">
        <v>6</v>
      </c>
      <c r="C11">
        <v>13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11</v>
      </c>
    </row>
    <row r="16" spans="1:3" x14ac:dyDescent="0.3">
      <c r="A16" t="s">
        <v>17</v>
      </c>
      <c r="B16">
        <v>3</v>
      </c>
      <c r="C16">
        <v>8</v>
      </c>
    </row>
    <row r="17" spans="1:3" x14ac:dyDescent="0.3">
      <c r="A17" t="s">
        <v>18</v>
      </c>
      <c r="B17">
        <v>3</v>
      </c>
      <c r="C17">
        <v>15</v>
      </c>
    </row>
    <row r="18" spans="1:3" x14ac:dyDescent="0.3">
      <c r="A18" t="s">
        <v>19</v>
      </c>
      <c r="B18">
        <v>2</v>
      </c>
      <c r="C18">
        <v>7</v>
      </c>
    </row>
    <row r="19" spans="1:3" x14ac:dyDescent="0.3">
      <c r="A19" t="s">
        <v>20</v>
      </c>
      <c r="B19">
        <v>2</v>
      </c>
      <c r="C19">
        <v>8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2</v>
      </c>
      <c r="C21">
        <v>9</v>
      </c>
    </row>
    <row r="22" spans="1:3" x14ac:dyDescent="0.3">
      <c r="A22" t="s">
        <v>23</v>
      </c>
      <c r="B22">
        <v>2</v>
      </c>
      <c r="C22">
        <v>6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2</v>
      </c>
      <c r="C24">
        <v>7</v>
      </c>
    </row>
    <row r="25" spans="1:3" x14ac:dyDescent="0.3">
      <c r="A25" t="s">
        <v>26</v>
      </c>
      <c r="B25">
        <v>3</v>
      </c>
      <c r="C25">
        <v>16</v>
      </c>
    </row>
    <row r="26" spans="1:3" x14ac:dyDescent="0.3">
      <c r="A26" t="s">
        <v>27</v>
      </c>
      <c r="B26">
        <v>3</v>
      </c>
      <c r="C26">
        <v>15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2</v>
      </c>
      <c r="C28">
        <v>16</v>
      </c>
    </row>
    <row r="29" spans="1:3" x14ac:dyDescent="0.3">
      <c r="A29" t="s">
        <v>30</v>
      </c>
      <c r="B29">
        <v>3</v>
      </c>
      <c r="C29">
        <v>18</v>
      </c>
    </row>
    <row r="30" spans="1:3" x14ac:dyDescent="0.3">
      <c r="A30" t="s">
        <v>31</v>
      </c>
      <c r="B30">
        <v>3</v>
      </c>
      <c r="C30">
        <v>19</v>
      </c>
    </row>
    <row r="31" spans="1:3" x14ac:dyDescent="0.3">
      <c r="A31" t="s">
        <v>32</v>
      </c>
      <c r="B31">
        <v>5</v>
      </c>
      <c r="C31">
        <v>11</v>
      </c>
    </row>
    <row r="32" spans="1:3" x14ac:dyDescent="0.3">
      <c r="A32" t="s">
        <v>33</v>
      </c>
      <c r="B32">
        <v>5</v>
      </c>
      <c r="C32">
        <v>23</v>
      </c>
    </row>
    <row r="33" spans="1:3" x14ac:dyDescent="0.3">
      <c r="A33" t="s">
        <v>34</v>
      </c>
      <c r="B33">
        <v>4</v>
      </c>
      <c r="C33">
        <v>16</v>
      </c>
    </row>
    <row r="34" spans="1:3" x14ac:dyDescent="0.3">
      <c r="A34" t="s">
        <v>35</v>
      </c>
      <c r="B34">
        <v>2</v>
      </c>
      <c r="C34">
        <v>19</v>
      </c>
    </row>
    <row r="35" spans="1:3" x14ac:dyDescent="0.3">
      <c r="A35" t="s">
        <v>36</v>
      </c>
      <c r="B35">
        <v>5</v>
      </c>
      <c r="C35">
        <v>15</v>
      </c>
    </row>
    <row r="36" spans="1:3" x14ac:dyDescent="0.3">
      <c r="A36" t="s">
        <v>37</v>
      </c>
      <c r="B36">
        <v>4</v>
      </c>
      <c r="C36">
        <v>20</v>
      </c>
    </row>
    <row r="37" spans="1:3" x14ac:dyDescent="0.3">
      <c r="A37" t="s">
        <v>38</v>
      </c>
      <c r="B37">
        <v>5</v>
      </c>
      <c r="C37">
        <v>16</v>
      </c>
    </row>
    <row r="38" spans="1:3" x14ac:dyDescent="0.3">
      <c r="A38" t="s">
        <v>39</v>
      </c>
      <c r="B38">
        <v>6</v>
      </c>
      <c r="C38">
        <v>19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2</v>
      </c>
      <c r="C41">
        <v>21</v>
      </c>
    </row>
    <row r="42" spans="1:3" x14ac:dyDescent="0.3">
      <c r="A42" t="s">
        <v>43</v>
      </c>
      <c r="B42">
        <v>2</v>
      </c>
      <c r="C42">
        <v>9</v>
      </c>
    </row>
    <row r="43" spans="1:3" x14ac:dyDescent="0.3">
      <c r="A43" t="s">
        <v>44</v>
      </c>
      <c r="B43">
        <v>4</v>
      </c>
      <c r="C43">
        <v>17</v>
      </c>
    </row>
    <row r="44" spans="1:3" x14ac:dyDescent="0.3">
      <c r="A44" t="s">
        <v>45</v>
      </c>
      <c r="B44">
        <v>4</v>
      </c>
      <c r="C44">
        <v>18</v>
      </c>
    </row>
    <row r="45" spans="1:3" x14ac:dyDescent="0.3">
      <c r="A45" t="s">
        <v>46</v>
      </c>
      <c r="B45">
        <v>54</v>
      </c>
      <c r="C45">
        <v>78</v>
      </c>
    </row>
    <row r="46" spans="1:3" x14ac:dyDescent="0.3">
      <c r="A46" t="s">
        <v>47</v>
      </c>
      <c r="B46">
        <v>5</v>
      </c>
      <c r="C46">
        <v>38</v>
      </c>
    </row>
    <row r="47" spans="1:3" x14ac:dyDescent="0.3">
      <c r="A47" t="s">
        <v>48</v>
      </c>
      <c r="B47">
        <v>11</v>
      </c>
      <c r="C47">
        <v>40</v>
      </c>
    </row>
    <row r="48" spans="1:3" x14ac:dyDescent="0.3">
      <c r="A48" t="s">
        <v>49</v>
      </c>
      <c r="B48">
        <v>74</v>
      </c>
      <c r="C48">
        <v>156</v>
      </c>
    </row>
    <row r="49" spans="1:3" x14ac:dyDescent="0.3">
      <c r="A49" t="s">
        <v>50</v>
      </c>
      <c r="B49">
        <v>11</v>
      </c>
      <c r="C49">
        <v>71</v>
      </c>
    </row>
    <row r="50" spans="1:3" x14ac:dyDescent="0.3">
      <c r="A50" t="s">
        <v>51</v>
      </c>
      <c r="B50">
        <v>9</v>
      </c>
      <c r="C50">
        <v>66</v>
      </c>
    </row>
    <row r="51" spans="1:3" x14ac:dyDescent="0.3">
      <c r="A51" t="s">
        <v>52</v>
      </c>
      <c r="B51">
        <v>5</v>
      </c>
      <c r="C51">
        <v>35</v>
      </c>
    </row>
    <row r="52" spans="1:3" x14ac:dyDescent="0.3">
      <c r="A52" t="s">
        <v>53</v>
      </c>
      <c r="B52">
        <v>3</v>
      </c>
      <c r="C52">
        <v>30</v>
      </c>
    </row>
    <row r="53" spans="1:3" x14ac:dyDescent="0.3">
      <c r="A53" t="s">
        <v>54</v>
      </c>
      <c r="B53">
        <v>6</v>
      </c>
      <c r="C53">
        <v>63</v>
      </c>
    </row>
    <row r="54" spans="1:3" x14ac:dyDescent="0.3">
      <c r="A54" t="s">
        <v>55</v>
      </c>
      <c r="B54">
        <v>360</v>
      </c>
      <c r="C54">
        <v>468</v>
      </c>
    </row>
    <row r="55" spans="1:3" x14ac:dyDescent="0.3">
      <c r="A55" t="s">
        <v>56</v>
      </c>
      <c r="B55">
        <v>21</v>
      </c>
      <c r="C55">
        <v>99</v>
      </c>
    </row>
    <row r="56" spans="1:3" x14ac:dyDescent="0.3">
      <c r="A56" t="s">
        <v>57</v>
      </c>
      <c r="B56">
        <v>55</v>
      </c>
      <c r="C56">
        <v>274</v>
      </c>
    </row>
    <row r="57" spans="1:3" x14ac:dyDescent="0.3">
      <c r="A57" t="s">
        <v>58</v>
      </c>
      <c r="B57">
        <v>19</v>
      </c>
      <c r="C57">
        <v>191</v>
      </c>
    </row>
    <row r="58" spans="1:3" x14ac:dyDescent="0.3">
      <c r="A58" t="s">
        <v>59</v>
      </c>
      <c r="B58">
        <v>75</v>
      </c>
      <c r="C58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PM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2020-03-31T20:23:08Z</dcterms:modified>
</cp:coreProperties>
</file>